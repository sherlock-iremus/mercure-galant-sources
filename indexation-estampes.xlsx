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nnepiejus/Documents/Projets:Travaux/MERCURE GALANT/MG ÉDITIONS/mercure-galant-sources/"/>
    </mc:Choice>
  </mc:AlternateContent>
  <xr:revisionPtr revIDLastSave="0" documentId="13_ncr:1_{F3613D92-2317-A241-92C4-1D61CD208D0A}" xr6:coauthVersionLast="47" xr6:coauthVersionMax="47" xr10:uidLastSave="{00000000-0000-0000-0000-000000000000}"/>
  <bookViews>
    <workbookView xWindow="-3440" yWindow="-21100" windowWidth="37120" windowHeight="21100" xr2:uid="{00000000-000D-0000-FFFF-FFFF00000000}"/>
  </bookViews>
  <sheets>
    <sheet name="Feuille 1" sheetId="1" r:id="rId1"/>
  </sheets>
  <definedNames>
    <definedName name="Z_CDB312C8_EF45_44D8_B316_E4A590B5DAF9_.wvu.FilterData" localSheetId="0" hidden="1">'Feuille 1'!$A$1:$AC$680</definedName>
  </definedNames>
  <calcPr calcId="191029"/>
  <customWorkbookViews>
    <customWorkbookView name="Filtre 1" guid="{CDB312C8-EF45-44D8-B316-E4A590B5DAF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V4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 xml:space="preserve">Frontispice à intégrer ?
</t>
        </r>
        <r>
          <rPr>
            <sz val="10"/>
            <color rgb="FF000000"/>
            <rFont val="Arial"/>
            <family val="2"/>
          </rPr>
          <t xml:space="preserve">	-Louise Quentel</t>
        </r>
      </text>
    </comment>
    <comment ref="L1" authorId="0" shapeId="0" xr:uid="{00000000-0006-0000-0000-000002000000}">
      <text>
        <r>
          <rPr>
            <sz val="10"/>
            <color rgb="FF000000"/>
            <rFont val="Arial"/>
            <family val="2"/>
          </rPr>
          <t xml:space="preserve">Cette catégorie permet d'identifier la ville, ou la région, dans laquelle l'élément représenté (par exemple un  bâtiment ou un monument) est situé, cette localisation étant indiquée par le péritexte ou par une inscription sur l'image. Sont aussi associés les Etats auxquels peut se référer la représentation.
</t>
        </r>
        <r>
          <rPr>
            <sz val="10"/>
            <color rgb="FF000000"/>
            <rFont val="Arial"/>
            <family val="2"/>
          </rPr>
          <t xml:space="preserve">	-Louise Quentel
</t>
        </r>
        <r>
          <rPr>
            <sz val="10"/>
            <color rgb="FF000000"/>
            <rFont val="Arial"/>
            <family val="2"/>
          </rPr>
          <t xml:space="preserve">Cette catégorie permet d'identifier la ville ou la région dans laquelle l'élément représenté (par exemple un bâtiment ou un monument) est situé, cette localisation étant indiquée par le péritexte ou sur l'image.
</t>
        </r>
        <r>
          <rPr>
            <sz val="10"/>
            <color rgb="FF000000"/>
            <rFont val="Arial"/>
            <family val="2"/>
          </rPr>
          <t xml:space="preserve">	-Anne Piéjus</t>
        </r>
      </text>
    </comment>
    <comment ref="N1" authorId="0" shapeId="0" xr:uid="{00000000-0006-0000-0000-000003000000}">
      <text>
        <r>
          <rPr>
            <sz val="10"/>
            <color rgb="FF000000"/>
            <rFont val="Arial"/>
            <family val="2"/>
          </rPr>
          <t xml:space="preserve">Sont relevés ici les principaux objets et personnes représentés au sein d'une planche. Cette indexation se fonde donc sur l'évaluation de la pertinence de ces élements pour définir le sujet de la représentation. 
</t>
        </r>
        <r>
          <rPr>
            <sz val="10"/>
            <color rgb="FF000000"/>
            <rFont val="Arial"/>
            <family val="2"/>
          </rPr>
          <t xml:space="preserve">
</t>
        </r>
        <r>
          <rPr>
            <sz val="10"/>
            <color rgb="FF000000"/>
            <rFont val="Arial"/>
            <family val="2"/>
          </rPr>
          <t xml:space="preserve">Si un élément qui avait été jugé secondaire pour une estampe est central pour une autre et fait alors l'objet d'une indexation, il est également indexé pour la première représentation et tout autre exemple du corpus où il apparaîtrait.
</t>
        </r>
        <r>
          <rPr>
            <sz val="10"/>
            <color rgb="FF000000"/>
            <rFont val="Arial"/>
            <family val="2"/>
          </rPr>
          <t xml:space="preserve">	-Louise Quentel
</t>
        </r>
        <r>
          <rPr>
            <sz val="10"/>
            <color rgb="FF000000"/>
            <rFont val="Arial"/>
            <family val="2"/>
          </rPr>
          <t xml:space="preserve">@quentel.louise@gmail.com
</t>
        </r>
        <r>
          <rPr>
            <sz val="10"/>
            <color rgb="FF000000"/>
            <rFont val="Arial"/>
            <family val="2"/>
          </rPr>
          <t xml:space="preserve">	-Anne Piéjus
</t>
        </r>
        <r>
          <rPr>
            <sz val="10"/>
            <color rgb="FF000000"/>
            <rFont val="Arial"/>
            <family val="2"/>
          </rPr>
          <t xml:space="preserve">Chère Louise, Je me demande si on ne pourrait simplifier un peu, par exemple comme ceci :
</t>
        </r>
        <r>
          <rPr>
            <sz val="10"/>
            <color rgb="FF000000"/>
            <rFont val="Arial"/>
            <family val="2"/>
          </rPr>
          <t xml:space="preserve">"On trouvera ici les principaux objets et personnes représentés. Certains objets secondaires, bien que secondaires, ont été indexés en raison de leur importance pour indexer d'autres estampes de la collection." et donner un exemple succinct ?
</t>
        </r>
        <r>
          <rPr>
            <sz val="10"/>
            <color rgb="FF000000"/>
            <rFont val="Arial"/>
            <family val="2"/>
          </rPr>
          <t xml:space="preserve">	-Anne Piéjus
</t>
        </r>
        <r>
          <rPr>
            <sz val="10"/>
            <color rgb="FF000000"/>
            <rFont val="Arial"/>
            <family val="2"/>
          </rPr>
          <t xml:space="preserve">Chère Anne, voici une proposition :
</t>
        </r>
        <r>
          <rPr>
            <sz val="10"/>
            <color rgb="FF000000"/>
            <rFont val="Arial"/>
            <family val="2"/>
          </rPr>
          <t xml:space="preserve">
</t>
        </r>
        <r>
          <rPr>
            <sz val="10"/>
            <color rgb="FF000000"/>
            <rFont val="Arial"/>
            <family val="2"/>
          </rPr>
          <t xml:space="preserve">
</t>
        </r>
        <r>
          <rPr>
            <sz val="10"/>
            <color rgb="FF000000"/>
            <rFont val="Arial"/>
            <family val="2"/>
          </rPr>
          <t xml:space="preserve">On trouvera ici les principaux objets et personnes représentés. Certains objets secondaires, bien que secondaires, ont été indexés en raison de leur importance pour indexer d'autres estampes de la collection. C'est ainsi le cas de l'objet "caducée", attribut de Mercure parfois représenté de manière autonome (par exemple : 1684-02_362).
</t>
        </r>
        <r>
          <rPr>
            <sz val="10"/>
            <color rgb="FF000000"/>
            <rFont val="Arial"/>
            <family val="2"/>
          </rPr>
          <t xml:space="preserve">	-Louise Quentel</t>
        </r>
      </text>
    </comment>
    <comment ref="P1" authorId="0" shapeId="0" xr:uid="{00000000-0006-0000-0000-000004000000}">
      <text>
        <r>
          <rPr>
            <sz val="10"/>
            <color rgb="FF000000"/>
            <rFont val="Arial"/>
            <family val="2"/>
          </rPr>
          <t xml:space="preserve">Sont traitées comme des "personnes associées", les personnes non représentées mais qui sont liées à l'estampe, tels :  
</t>
        </r>
        <r>
          <rPr>
            <sz val="10"/>
            <color rgb="FF000000"/>
            <rFont val="Arial"/>
            <family val="2"/>
          </rPr>
          <t xml:space="preserve">- les dédicataires de l'image ; 
</t>
        </r>
        <r>
          <rPr>
            <sz val="10"/>
            <color rgb="FF000000"/>
            <rFont val="Arial"/>
            <family val="2"/>
          </rPr>
          <t xml:space="preserve">- les acteurs importants des fêtes et cérémonies représentées ;
</t>
        </r>
        <r>
          <rPr>
            <sz val="10"/>
            <color rgb="FF000000"/>
            <rFont val="Arial"/>
            <family val="2"/>
          </rPr>
          <t xml:space="preserve">- les personnes dont les armes font l'objet d'une représentation ; 
</t>
        </r>
        <r>
          <rPr>
            <sz val="10"/>
            <color rgb="FF000000"/>
            <rFont val="Arial"/>
            <family val="2"/>
          </rPr>
          <t xml:space="preserve">- les personnes dont la table généalogique est retracée ; 
</t>
        </r>
        <r>
          <rPr>
            <sz val="10"/>
            <color rgb="FF000000"/>
            <rFont val="Arial"/>
            <family val="2"/>
          </rPr>
          <t xml:space="preserve">- les personnes à l'origine d'un décor, d'un monument ou d'une invention.
</t>
        </r>
        <r>
          <rPr>
            <sz val="10"/>
            <color rgb="FF000000"/>
            <rFont val="Arial"/>
            <family val="2"/>
          </rPr>
          <t xml:space="preserve">	-Louise Quentel
</t>
        </r>
        <r>
          <rPr>
            <sz val="10"/>
            <color rgb="FF000000"/>
            <rFont val="Arial"/>
            <family val="2"/>
          </rPr>
          <t xml:space="preserve">Sont traitées comme personnes associées les personnes non représentées mais liées à l'estampe, tels : 
</t>
        </r>
        <r>
          <rPr>
            <sz val="10"/>
            <color rgb="FF000000"/>
            <rFont val="Arial"/>
            <family val="2"/>
          </rPr>
          <t xml:space="preserve">- les dédicataires de l'image ;
</t>
        </r>
        <r>
          <rPr>
            <sz val="10"/>
            <color rgb="FF000000"/>
            <rFont val="Arial"/>
            <family val="2"/>
          </rPr>
          <t xml:space="preserve">- les principaux acteurs des fêtes et cérémonies représentées ;
</t>
        </r>
        <r>
          <rPr>
            <sz val="10"/>
            <color rgb="FF000000"/>
            <rFont val="Arial"/>
            <family val="2"/>
          </rPr>
          <t xml:space="preserve">- les personnes dont les armes font l'objet d'une représentation ;
</t>
        </r>
        <r>
          <rPr>
            <sz val="10"/>
            <color rgb="FF000000"/>
            <rFont val="Arial"/>
            <family val="2"/>
          </rPr>
          <t xml:space="preserve">- les personnes dont la table généalogique est retracée ;
</t>
        </r>
        <r>
          <rPr>
            <sz val="10"/>
            <color rgb="FF000000"/>
            <rFont val="Arial"/>
            <family val="2"/>
          </rPr>
          <t xml:space="preserve">- les personnes à l'origine d'un décor, d'un monument ou d'une invention.
</t>
        </r>
        <r>
          <rPr>
            <sz val="10"/>
            <color rgb="FF000000"/>
            <rFont val="Arial"/>
            <family val="2"/>
          </rPr>
          <t xml:space="preserve">	-Anne Piéjus
</t>
        </r>
        <r>
          <rPr>
            <sz val="10"/>
            <color rgb="FF000000"/>
            <rFont val="Arial"/>
            <family val="2"/>
          </rPr>
          <t xml:space="preserve">peut-être que l'expression "à l'origine d'un décor" pourrait etre précisée.
</t>
        </r>
        <r>
          <rPr>
            <sz val="10"/>
            <color rgb="FF000000"/>
            <rFont val="Arial"/>
            <family val="2"/>
          </rPr>
          <t xml:space="preserve">	-Anne Piéjus
</t>
        </r>
        <r>
          <rPr>
            <sz val="10"/>
            <color rgb="FF000000"/>
            <rFont val="Arial"/>
            <family val="2"/>
          </rPr>
          <t xml:space="preserve">Proposition : 
</t>
        </r>
        <r>
          <rPr>
            <sz val="10"/>
            <color rgb="FF000000"/>
            <rFont val="Arial"/>
            <family val="2"/>
          </rPr>
          <t xml:space="preserve">"- les personnes à l'origine d'un décor, d'un monument ou d'une invention (auteur, commanditaire ou dédicataire)."
</t>
        </r>
        <r>
          <rPr>
            <sz val="10"/>
            <color rgb="FF000000"/>
            <rFont val="Arial"/>
            <family val="2"/>
          </rPr>
          <t xml:space="preserve">	-Louise Quentel</t>
        </r>
      </text>
    </comment>
    <comment ref="AB1" authorId="0" shapeId="0" xr:uid="{00000000-0006-0000-0000-000005000000}">
      <text>
        <r>
          <rPr>
            <sz val="10"/>
            <color rgb="FF000000"/>
            <rFont val="Arial"/>
            <family val="2"/>
            <scheme val="minor"/>
          </rPr>
          <t>Sont intégrées ici des citations du texte afférent à l'estampe, lorsque celle-ci y fait l'objet d'un commentaire permettant d'éclairer son histoire éditoriale (auteur(s), modèle(s), projet d'édition, circonstances de la publication...).
	-Louise Quentel</t>
        </r>
      </text>
    </comment>
    <comment ref="J22" authorId="0" shapeId="0" xr:uid="{00000000-0006-0000-0000-000006000000}">
      <text>
        <r>
          <rPr>
            <sz val="10"/>
            <color rgb="FF000000"/>
            <rFont val="Arial"/>
            <family val="2"/>
            <scheme val="minor"/>
          </rPr>
          <t>Louise, je crains qu'il y ait eu erreur. Dans Directus, 2678 semble correspondre à PAraza en Catalogne, alros qu'il s'agit ici de la bataille navale.
	-Anne Piéjus
Ce fort se trouve à Cayenne ; il faudra créer un terme dans Directus.
	-Anne Piéjus</t>
        </r>
      </text>
    </comment>
    <comment ref="A67" authorId="0" shapeId="0" xr:uid="{00000000-0006-0000-0000-000007000000}">
      <text>
        <r>
          <rPr>
            <sz val="10"/>
            <color rgb="FF000000"/>
            <rFont val="Arial"/>
            <family val="2"/>
          </rPr>
          <t xml:space="preserve">Je m'interroge sur cette cote : l'épitre n'est pas page 182.
</t>
        </r>
        <r>
          <rPr>
            <sz val="10"/>
            <color rgb="FF000000"/>
            <rFont val="Arial"/>
            <family val="2"/>
          </rPr>
          <t xml:space="preserve">	-Anne Piéjus
</t>
        </r>
        <r>
          <rPr>
            <sz val="10"/>
            <color rgb="FF000000"/>
            <rFont val="Arial"/>
            <family val="2"/>
          </rPr>
          <t xml:space="preserve">En effet, l’avis indique : “La Figure dans laquelle l’Epistre au Roy est gravée, doit estre au devant de la premiere Page de la matiere.” (cf. photo déposée sur le Drive). J’ai corrigé la cote 1678-12e_182 &gt; 1678-12e_000
</t>
        </r>
        <r>
          <rPr>
            <sz val="10"/>
            <color rgb="FF000000"/>
            <rFont val="Arial"/>
            <family val="2"/>
          </rPr>
          <t xml:space="preserve">	-Louise Quentel</t>
        </r>
      </text>
    </comment>
    <comment ref="B127" authorId="0" shapeId="0" xr:uid="{00000000-0006-0000-0000-000008000000}">
      <text>
        <r>
          <rPr>
            <sz val="10"/>
            <color rgb="FF000000"/>
            <rFont val="Arial"/>
            <family val="2"/>
          </rPr>
          <t xml:space="preserve">Numéro pas disponible dans Gallica au 20 ; 05 ; 21 ; BNF, 8-LC2-34 tome 9 p. 320 ; cliché Mazarine
</t>
        </r>
        <r>
          <rPr>
            <sz val="10"/>
            <color rgb="FF000000"/>
            <rFont val="Arial"/>
            <family val="2"/>
          </rPr>
          <t xml:space="preserve">	-Anne Piéjus</t>
        </r>
      </text>
    </comment>
    <comment ref="B128" authorId="0" shapeId="0" xr:uid="{00000000-0006-0000-0000-000009000000}">
      <text>
        <r>
          <rPr>
            <sz val="10"/>
            <color rgb="FF000000"/>
            <rFont val="Arial"/>
            <family val="2"/>
          </rPr>
          <t xml:space="preserve">Numéro pas disponible dans Gallica au 20 ; 05 ; 21
</t>
        </r>
        <r>
          <rPr>
            <sz val="10"/>
            <color rgb="FF000000"/>
            <rFont val="Arial"/>
            <family val="2"/>
          </rPr>
          <t xml:space="preserve">	-Anne Piéjus</t>
        </r>
      </text>
    </comment>
    <comment ref="B232" authorId="0" shapeId="0" xr:uid="{00000000-0006-0000-0000-00000A000000}">
      <text>
        <r>
          <rPr>
            <sz val="10"/>
            <color rgb="FF000000"/>
            <rFont val="Arial"/>
            <family val="2"/>
            <scheme val="minor"/>
          </rPr>
          <t>Numéro pas disponible dans Gallica au 20 ; 05 ; 21
	-Anne Piéjus</t>
        </r>
      </text>
    </comment>
    <comment ref="B269" authorId="0" shapeId="0" xr:uid="{00000000-0006-0000-0000-00000B000000}">
      <text>
        <r>
          <rPr>
            <sz val="10"/>
            <color rgb="FF000000"/>
            <rFont val="Arial"/>
            <family val="2"/>
            <scheme val="minor"/>
          </rPr>
          <t>Numéro pas disponible dans Gallica au 19/01/22
	-Anne Piéjus</t>
        </r>
      </text>
    </comment>
    <comment ref="X269" authorId="0" shapeId="0" xr:uid="{00000000-0006-0000-0000-00000C000000}">
      <text>
        <r>
          <rPr>
            <sz val="10"/>
            <color rgb="FF000000"/>
            <rFont val="Arial"/>
            <family val="2"/>
            <scheme val="minor"/>
          </rPr>
          <t>Deux noms : le graveur et le graveur en lettres.
	-Louise Quentel</t>
        </r>
      </text>
    </comment>
    <comment ref="AB331" authorId="0" shapeId="0" xr:uid="{00000000-0006-0000-0000-00000D000000}">
      <text>
        <r>
          <rPr>
            <sz val="10"/>
            <color rgb="FF000000"/>
            <rFont val="Arial"/>
            <family val="2"/>
            <scheme val="minor"/>
          </rPr>
          <t>Coquille : double point après "envoyer"
	-Louise Quentel</t>
        </r>
      </text>
    </comment>
    <comment ref="A348" authorId="0" shapeId="0" xr:uid="{00000000-0006-0000-0000-00000E000000}">
      <text>
        <r>
          <rPr>
            <sz val="10"/>
            <color rgb="FF000000"/>
            <rFont val="Arial"/>
            <family val="2"/>
            <scheme val="minor"/>
          </rPr>
          <t>Erreur de pagination dans le Mercure : planche annoncée p. 190 au lieu de 170.
	-Louise Quentel</t>
        </r>
      </text>
    </comment>
  </commentList>
</comments>
</file>

<file path=xl/sharedStrings.xml><?xml version="1.0" encoding="utf-8"?>
<sst xmlns="http://schemas.openxmlformats.org/spreadsheetml/2006/main" count="7045" uniqueCount="4027">
  <si>
    <t>ID estampe</t>
  </si>
  <si>
    <t>Provenance cliché</t>
  </si>
  <si>
    <t>ID article OBVIL</t>
  </si>
  <si>
    <t>ID OBVIL article lié</t>
  </si>
  <si>
    <t>Commentaire ID article lié OBVIL</t>
  </si>
  <si>
    <t>Lien vers le texte [ou l'image] en ligne</t>
  </si>
  <si>
    <t>Titre sur l'image</t>
  </si>
  <si>
    <t>[titre descriptif forgé]* (Avec Maj - accentuées]</t>
  </si>
  <si>
    <t>[Titre dans le péritexte: Avis, article…]</t>
  </si>
  <si>
    <t>Lieux représentés</t>
  </si>
  <si>
    <t>Institutions associées (opentheso)</t>
  </si>
  <si>
    <t>Lieux/Etats associés</t>
  </si>
  <si>
    <t>Thématique [Avec Maj et au pl.]</t>
  </si>
  <si>
    <t>Objets représentés</t>
  </si>
  <si>
    <t>Personnes représentées</t>
  </si>
  <si>
    <t>Personnes associées</t>
  </si>
  <si>
    <t>[NOMS PROPRES, COLONNE PROVISOIRE]</t>
  </si>
  <si>
    <t>Types de représentation</t>
  </si>
  <si>
    <t>Technique de la gravure</t>
  </si>
  <si>
    <t>Format (H x L en cm)</t>
  </si>
  <si>
    <t>Inventeur (du sujet) ['Invenit' ou 'Pinxit' ou 'Delineavit']</t>
  </si>
  <si>
    <t>Inventeur label</t>
  </si>
  <si>
    <r>
      <rPr>
        <b/>
        <sz val="10"/>
        <color theme="1"/>
        <rFont val="Arial"/>
        <family val="2"/>
      </rPr>
      <t>Graveur ['Sculpsit' ou 'Incidit' ou</t>
    </r>
    <r>
      <rPr>
        <b/>
        <sz val="10"/>
        <color rgb="FFFF0000"/>
        <rFont val="Arial"/>
        <family val="2"/>
      </rPr>
      <t xml:space="preserve"> </t>
    </r>
    <r>
      <rPr>
        <b/>
        <sz val="10"/>
        <color theme="1"/>
        <rFont val="Arial"/>
        <family val="2"/>
      </rPr>
      <t>'fecit']</t>
    </r>
  </si>
  <si>
    <t>Graveur label</t>
  </si>
  <si>
    <t>Note sur l'attribution</t>
  </si>
  <si>
    <t>Médailles: avers</t>
  </si>
  <si>
    <t>Médailles: revers</t>
  </si>
  <si>
    <t>Concordances [autres tirages en ligne ; hypothèse sur les modèles]</t>
  </si>
  <si>
    <t>BIBLIO [y compris liens] relative à la gravure et aux artistes</t>
  </si>
  <si>
    <t>NOTES DE TRAVAIL INTERNES</t>
  </si>
  <si>
    <t>BnF, 8°-H-26484</t>
  </si>
  <si>
    <t>MG-1677-09_212</t>
  </si>
  <si>
    <t>https://gallica.bnf.fr/ark:/12148/bpt6k1524036s/f244.item</t>
  </si>
  <si>
    <t>[Plan de la salle de cérémonie où eut lieu la distribution des prix de l'Académie française le jour de la Saint-Louis]*</t>
  </si>
  <si>
    <t>academie_francaise</t>
  </si>
  <si>
    <t>2929 : PARIS</t>
  </si>
  <si>
    <t>décor éphémère ; arts oratoires ; vie académique</t>
  </si>
  <si>
    <t>table de banquet</t>
  </si>
  <si>
    <t>1480e2ab-f3d6-4915-a0c0-9a5b55fd56b6</t>
  </si>
  <si>
    <t>louis_xiv_(1638-1715)_roi_de_france</t>
  </si>
  <si>
    <t>relevé décoratif</t>
  </si>
  <si>
    <t>eau-forte</t>
  </si>
  <si>
    <t>1678-01_000</t>
  </si>
  <si>
    <t>BnF, 8-Lc2-33</t>
  </si>
  <si>
    <t>https://gallica.bnf.fr/ark:/12148/bpt6k4226928v/f7.item</t>
  </si>
  <si>
    <t>Et Nostris Prævalet Alis. Iam Supra Sublimia</t>
  </si>
  <si>
    <t>[Frontispice : Renommée et Mercure]*</t>
  </si>
  <si>
    <t>personnification des vices et des vertus ; mythologie gréco-romaine</t>
  </si>
  <si>
    <t xml:space="preserve">Mercure ; Renommée (personnification) ; soleil ; mer ; caducée ; </t>
  </si>
  <si>
    <t>compositions allégoriques et emblématiques ; composition mythologique</t>
  </si>
  <si>
    <t>12 x 7,7 cm</t>
  </si>
  <si>
    <t>84c4791-4496-4adc-b8c0-7fbe5b4342dc</t>
  </si>
  <si>
    <t>La Boissière, Gilles Jodelet de (fl.1660-1680) ; 83900</t>
  </si>
  <si>
    <t>Sur l'estampe : "De la Boissierre in. et. f."</t>
  </si>
  <si>
    <t>Barbara Selmeci Castioni, « L'actualité gravée au temple de mémoire », Nouvelles de l'estampe [En ligne], 252 | 2015 URL : http://journals.openedition.org/estampe/1370 ; DOI : https://doi.org/10.4000/estampe.1370</t>
  </si>
  <si>
    <t>1678-01_038</t>
  </si>
  <si>
    <t>MG-1678-01_038</t>
  </si>
  <si>
    <t>MG-1677-09_64</t>
  </si>
  <si>
    <t>https://gallica.bnf.fr/ark:/12148/bpt6k4226928v/f68.item</t>
  </si>
  <si>
    <t>Obeliscus Arelatensis</t>
  </si>
  <si>
    <t>[Obélisque d'Arles]*</t>
  </si>
  <si>
    <t>[Obeliscus Arelatensis]</t>
  </si>
  <si>
    <t>academie_royale_d_arles</t>
  </si>
  <si>
    <t>2645 : Arles</t>
  </si>
  <si>
    <t>archéologie ; architecture ; sculpture ; vie académique</t>
  </si>
  <si>
    <t>obélisque ; soleil ; piédestal ; lion (animal)</t>
  </si>
  <si>
    <t>34,5 x 10,5 cm</t>
  </si>
  <si>
    <t>9d60b4f7-223b-4a27-b506-c1317bfa0afa</t>
  </si>
  <si>
    <t>Poilly, François (1622-1693)</t>
  </si>
  <si>
    <t>Modèle : https://www.gazette-drouot.com/lots/6898759 Autres éditions postérieures : https://catalogue.bnf.fr/ark:/12148/cb41504006h* https://catalogue.bnf.fr/ark:/12148/cb44565755j. Cet obélisque a également été gravé et publié dans l'Histoire du règne de Louis-Le-Grand par les médailles, emblèmes, devises, jetons, inscriptions, armoiries et autres monuments publics de Ménestrier, gravée par Jean-Baptiste Nolin et Nicolas Guérard d'après des dessins de Pierre-Paul Sevain, p. 63. https://gallica.bnf.fr/ark:/12148/bpt6k15102967/f152.item</t>
  </si>
  <si>
    <t>https://books.google.fr/books?id=mHq-LjbJyzEC&amp;printsec=frontcover&amp;hl=fr&amp;source=gbs_ge_summary_r&amp;cad=0#v=onepage&amp;q=ob%C3%A9lisque&amp;f=false</t>
  </si>
  <si>
    <t>BnF, Ars, 8-H-26484(18)</t>
  </si>
  <si>
    <t>MG-1678-01_144</t>
  </si>
  <si>
    <t>https://gallica.bnf.fr/ark:/12148/bpt6k4226928v/f183.item</t>
  </si>
  <si>
    <t>L'Empire de la poesie</t>
  </si>
  <si>
    <t>[Carte de galanterie : l'Empire de la Poésie]*</t>
  </si>
  <si>
    <t>[Carte et description de l'empire de la Poésie]</t>
  </si>
  <si>
    <t>cartes allégoriques et de galanterie</t>
  </si>
  <si>
    <t xml:space="preserve">montagne ; fleuve, rivière, ruisseau ; île ; église ; </t>
  </si>
  <si>
    <t>compositions allégoriques et emblématiques</t>
  </si>
  <si>
    <t>20,5 x 16,1 cm</t>
  </si>
  <si>
    <t>9d97e656-5943-4b3d-b8b1-688b7b697c5a</t>
  </si>
  <si>
    <t>Fontenelle, Bernard Le Bouyer de (1657-1757)</t>
  </si>
  <si>
    <t>Voir l'article afférent à l'estampe.</t>
  </si>
  <si>
    <t>MG-1678-01_246</t>
  </si>
  <si>
    <t>MG-1678-02_325</t>
  </si>
  <si>
    <t>[Noms de tous ceux qui ont des explications à ces deux Enigmes]</t>
  </si>
  <si>
    <t>https://gallica.bnf.fr/ark:/12148/bpt6k4226928v/f288.item</t>
  </si>
  <si>
    <t>Enigme</t>
  </si>
  <si>
    <t>[Énigme en figure: Vénus que l'Amour défend contre Vulcain]*</t>
  </si>
  <si>
    <t>[Enigme en figure]</t>
  </si>
  <si>
    <t>énigme en figure ; mythologie gréco-romaine</t>
  </si>
  <si>
    <t>Vénus ; Amour ; Vulcain ; bouclier ; lance ; enclume ; palais</t>
  </si>
  <si>
    <t>11,3 x 6,8 cm</t>
  </si>
  <si>
    <t>Sur l'estampe : "De la Boissiere. f."</t>
  </si>
  <si>
    <t>1678-02_000</t>
  </si>
  <si>
    <t>https://gallica.bnf.fr/ark:/12148/bpt6k42267730/f7.item</t>
  </si>
  <si>
    <t>12 x 7 cm</t>
  </si>
  <si>
    <t>Adaptation du frontispice publié en janvier 1678. On retrouve ce même frontispice dans un exemplaire conservé à l'Arsenal daté de juin 1678 (BnF, Arsenal, 8-H-26484(25)).</t>
  </si>
  <si>
    <t>BnF, Ars, 8-H-26484(20)</t>
  </si>
  <si>
    <t>MG-1678-02_073</t>
  </si>
  <si>
    <t>https://gallica.bnf.fr/ark:/12148/bpt6k42267730/f107.item</t>
  </si>
  <si>
    <t>[Devises gravées pour le dauphin]*</t>
  </si>
  <si>
    <t>[Devises Héroïques]</t>
  </si>
  <si>
    <t>emblèmes et devises</t>
  </si>
  <si>
    <t>étoile ; mer ; poisson (animal) ; montagne</t>
  </si>
  <si>
    <t>5c9edf3a-330e-4c4f-8e61-c75a75e1b747</t>
  </si>
  <si>
    <t>louis_dauphin_de_france_(1661-1711)</t>
  </si>
  <si>
    <t>12 x 7,5 cm</t>
  </si>
  <si>
    <t>a6c887ba-a4cf-4dcf-9a65-b34752347f13</t>
  </si>
  <si>
    <t>Charles-Jean-François Chéron (1635-1698) ; 84028</t>
  </si>
  <si>
    <t>Source de l'hypothèse d'attribution ? Pas de signature, ni de mention dans l'article.</t>
  </si>
  <si>
    <t>MG-1678-02_328</t>
  </si>
  <si>
    <t xml:space="preserve">MG-1678-03_371 </t>
  </si>
  <si>
    <t>[Diverses Explications données à l'Enigme de Pandore]</t>
  </si>
  <si>
    <t>https://gallica.bnf.fr/ark:/12148/bpt6k42267730/f268.item</t>
  </si>
  <si>
    <t>Pandore, Enigme</t>
  </si>
  <si>
    <t>[Énigme en figure : Pandore]*</t>
  </si>
  <si>
    <t>[L'Enigme en figure]</t>
  </si>
  <si>
    <t>Pandore ; palais</t>
  </si>
  <si>
    <t>13 x 7,5 cm</t>
  </si>
  <si>
    <t>1678-02_271</t>
  </si>
  <si>
    <t>MG-1678-02_269</t>
  </si>
  <si>
    <t>https://gallica.bnf.fr/ark:/12148/bpt6k42267730/f307.item</t>
  </si>
  <si>
    <t>Combat de la Louange et de la Satire</t>
  </si>
  <si>
    <t>[Carte allégorique du combat entre la Satire et la Louange]*</t>
  </si>
  <si>
    <t>[Le combat de la Satire et de la Louange]</t>
  </si>
  <si>
    <t xml:space="preserve">armée ; château ; montagne ; fleuve, rivière, ruisseau ; château ; tour ; drapeau ou étendard ; </t>
  </si>
  <si>
    <t>26,3 x 35,7 cm</t>
  </si>
  <si>
    <t>1678-03_153</t>
  </si>
  <si>
    <t>Article transcrit Nouvelle-France</t>
  </si>
  <si>
    <t>https://gallica.bnf.fr/ark:/12148/bpt6k4227089r/f188.item</t>
  </si>
  <si>
    <t>Plan de l'Isle de Gorée avec ses deux forts et le Combat que nous avons rendu le premier du mois de Novembre 1677</t>
  </si>
  <si>
    <t>[Plan légendé de l'île de Gorée et de ses fortifications]*</t>
  </si>
  <si>
    <t>[Le Plan de l'Isle de Gorée]</t>
  </si>
  <si>
    <t>298137 : Gorée (île de</t>
  </si>
  <si>
    <t>topographie ; vie militaire</t>
  </si>
  <si>
    <t xml:space="preserve">île ; bataille ; forteresse ; combat naval ; pièce d'artillerie ; armée navale ; mer ; citadelle ; </t>
  </si>
  <si>
    <t xml:space="preserve">sièges et plans d'ouvrages militaires </t>
  </si>
  <si>
    <t>https: ; / catalogue.bnf.fr ; ark: ; 12148 ; cb40639542m</t>
  </si>
  <si>
    <r>
      <rPr>
        <b/>
        <sz val="10"/>
        <color theme="1"/>
        <rFont val="Arial"/>
        <family val="2"/>
      </rPr>
      <t xml:space="preserve">Peggy Davis, Marie-Lise Poirier, "Imaginer l'Amérique : rôles et fonctions de la gravure dans le </t>
    </r>
    <r>
      <rPr>
        <b/>
        <i/>
        <sz val="10"/>
        <color theme="1"/>
        <rFont val="Arial"/>
        <family val="2"/>
      </rPr>
      <t>Mercure galant</t>
    </r>
    <r>
      <rPr>
        <b/>
        <sz val="10"/>
        <color theme="1"/>
        <rFont val="Arial"/>
        <family val="2"/>
      </rPr>
      <t>", à compléter</t>
    </r>
  </si>
  <si>
    <t>1678-03_163</t>
  </si>
  <si>
    <t>Article transcrit</t>
  </si>
  <si>
    <t>Plan du Fort et Port de Tobago</t>
  </si>
  <si>
    <t>[Plan légendé du fort et port de Tobago]*</t>
  </si>
  <si>
    <t>[Le plan de Tabago]</t>
  </si>
  <si>
    <t>298077 : Tobago (île de)</t>
  </si>
  <si>
    <t xml:space="preserve">île ; montagne ; forteresse ; pièce d'artillerie ; armée navale ; ville ; mer ; église ; drapeau ou étendard ; </t>
  </si>
  <si>
    <r>
      <rPr>
        <b/>
        <sz val="10"/>
        <color theme="1"/>
        <rFont val="Arial"/>
        <family val="2"/>
      </rPr>
      <t xml:space="preserve">Peggy Davis, Marie-Lise Poirier, "Imaginer l'Amérique : rôles et fonctions de la gravure dans le </t>
    </r>
    <r>
      <rPr>
        <b/>
        <i/>
        <sz val="10"/>
        <color theme="1"/>
        <rFont val="Arial"/>
        <family val="2"/>
      </rPr>
      <t>Mercure galant</t>
    </r>
    <r>
      <rPr>
        <b/>
        <sz val="10"/>
        <color theme="1"/>
        <rFont val="Arial"/>
        <family val="2"/>
      </rPr>
      <t>", à compléter</t>
    </r>
  </si>
  <si>
    <t>1678-03_329</t>
  </si>
  <si>
    <t>https://gallica.bnf.fr/ark:/12148/bpt6k4227089r/f377.item</t>
  </si>
  <si>
    <t xml:space="preserve">Plan de la ville de Gand </t>
  </si>
  <si>
    <t>[Plan légendé des fortifications et vue de la ville de Gand]*</t>
  </si>
  <si>
    <t>[Le Plan de Gand]</t>
  </si>
  <si>
    <t>1062 : Gand</t>
  </si>
  <si>
    <t>ville ; forteresse ; armoiries ; canal ; citadelle ; château ; canal ; lion (animal) ; drapeau ou étendard ; fleuve, rivière, ruisseau ; main ;  ;</t>
  </si>
  <si>
    <t>sièges et plans d'ouvrages militaires  ; profil</t>
  </si>
  <si>
    <r>
      <rPr>
        <b/>
        <u/>
        <sz val="10"/>
        <color rgb="FF1155CC"/>
        <rFont val="Arial"/>
        <family val="2"/>
      </rPr>
      <t>https://gallica.bnf.fr/ark:/12148/btv1b525141207/f72.item.zoom</t>
    </r>
    <r>
      <rPr>
        <b/>
        <sz val="10"/>
        <color rgb="FF000000"/>
        <rFont val="Arial"/>
        <family val="2"/>
      </rPr>
      <t xml:space="preserve"> ; </t>
    </r>
    <r>
      <rPr>
        <b/>
        <u/>
        <sz val="10"/>
        <color rgb="FF1155CC"/>
        <rFont val="Arial"/>
        <family val="2"/>
      </rPr>
      <t>https://catalogue.bnf.fr/ark:/12148/cb42335777m</t>
    </r>
  </si>
  <si>
    <t>1678-03_377</t>
  </si>
  <si>
    <t>BnF, Ars, 8-H-26484(21)</t>
  </si>
  <si>
    <t>MG-1678-03_377</t>
  </si>
  <si>
    <t>https://gallica.bnf.fr/ark:/12148/bpt6k4227089r/f427.item</t>
  </si>
  <si>
    <t>Médée Enigme</t>
  </si>
  <si>
    <t>[Énigme en figure : Médée]*</t>
  </si>
  <si>
    <t xml:space="preserve">Médée ; char ; Créuse ; Jason ; Créon ; serpent ; </t>
  </si>
  <si>
    <t>67d8e548-75c3-4e0e-8a82-a7eee418d343</t>
  </si>
  <si>
    <t>L. C. [monogramme]</t>
  </si>
  <si>
    <t>Sur l'estampe : "L. C."</t>
  </si>
  <si>
    <t>1678-03e_275</t>
  </si>
  <si>
    <t>BnF, Ars, 8-H-26484(19)</t>
  </si>
  <si>
    <t>Article à transcrire</t>
  </si>
  <si>
    <t>Numéro pas disponible dans Gallica au 19 ; 05 ; 21</t>
  </si>
  <si>
    <t>Lettre en Chiffres</t>
  </si>
  <si>
    <t>[Lettre en chiffres]*</t>
  </si>
  <si>
    <t>[La Lettre en Chiffres]</t>
  </si>
  <si>
    <t>alphabets et écritures codées</t>
  </si>
  <si>
    <t>lettre en chiffres ; animal (réel ou fantastique)</t>
  </si>
  <si>
    <t>28,9 x 38 cm</t>
  </si>
  <si>
    <t>MG-1678-03_000</t>
  </si>
  <si>
    <t>Avis au lecteur présentant le projet de publication des modes.</t>
  </si>
  <si>
    <t>Habit d'Hyver</t>
  </si>
  <si>
    <t>[Modes : homme en habit d'hiver]*</t>
  </si>
  <si>
    <t>[La Figure de l'Homme en Manteau]</t>
  </si>
  <si>
    <t>mode vestimentaire</t>
  </si>
  <si>
    <t>vêtement</t>
  </si>
  <si>
    <t>dessin de mode</t>
  </si>
  <si>
    <t>13 x 10,3 cm</t>
  </si>
  <si>
    <t>ad51f23b-154c-4467-95db-71c28cdcfd63</t>
  </si>
  <si>
    <t>berain_jean_(1640-1711)</t>
  </si>
  <si>
    <t>8ec94021-6bbe-4258-9bd5-dc6fef510581</t>
  </si>
  <si>
    <t>le_pautre_jean_(1618-1682)</t>
  </si>
  <si>
    <t>Cette estampe est adaptée d'une estampe de Saint-Jean publiée en 1676-1678 l'Homme de qualité en habit d'été  (P. Cugy, p. 207) : https://gallica.bnf.fr/ark:/12148/btv1b7100252j</t>
  </si>
  <si>
    <r>
      <rPr>
        <b/>
        <sz val="10"/>
        <color theme="1"/>
        <rFont val="Arial"/>
        <family val="2"/>
      </rPr>
      <t xml:space="preserve">CUGY Pascale, </t>
    </r>
    <r>
      <rPr>
        <b/>
        <i/>
        <sz val="10"/>
        <color theme="1"/>
        <rFont val="Arial"/>
        <family val="2"/>
      </rPr>
      <t xml:space="preserve">La Dynastie Bonnart, peintres, graveurs et marchands de </t>
    </r>
    <r>
      <rPr>
        <b/>
        <sz val="10"/>
        <color theme="1"/>
        <rFont val="Arial"/>
        <family val="2"/>
      </rPr>
      <t>modes</t>
    </r>
    <r>
      <rPr>
        <b/>
        <i/>
        <sz val="10"/>
        <color theme="1"/>
        <rFont val="Arial"/>
        <family val="2"/>
      </rPr>
      <t xml:space="preserve"> à Paris sous l'Ancien Régime</t>
    </r>
    <r>
      <rPr>
        <b/>
        <sz val="10"/>
        <color theme="1"/>
        <rFont val="Arial"/>
        <family val="2"/>
      </rPr>
      <t>, Rennes, Presses universitaires de Rennes, 2017, p. 204-207.</t>
    </r>
  </si>
  <si>
    <t>[Modes : second habit d'hiver]*</t>
  </si>
  <si>
    <t>[La Figure de l'Homme en Echarpe]</t>
  </si>
  <si>
    <t xml:space="preserve">13,1 x 10,6 cm </t>
  </si>
  <si>
    <t>"Mr Bérin Désignateur ordinaire du Cabinet du Roy [...] en a fait tous les Desseins, &amp; Mr le Pautre les a gravez." (Extraordinaire du Mercure galant, quartier de janvier 1678 (tome I), p. 544).</t>
  </si>
  <si>
    <r>
      <rPr>
        <b/>
        <sz val="10"/>
        <rFont val="Arial"/>
        <family val="2"/>
      </rPr>
      <t xml:space="preserve">Cette estampe est adaptée d'une estampe de Saint-Jean publiée en 1676-1678 l'Homme de qualité en habit d'hiver (P. Cugy, p. 207 : </t>
    </r>
    <r>
      <rPr>
        <b/>
        <u/>
        <sz val="10"/>
        <color rgb="FF1155CC"/>
        <rFont val="Arial"/>
        <family val="2"/>
      </rPr>
      <t>https://gallica.bnf.fr/ark:/12148/btv1b71002121/f1.item.zoom</t>
    </r>
  </si>
  <si>
    <r>
      <rPr>
        <b/>
        <sz val="10"/>
        <color theme="1"/>
        <rFont val="Arial"/>
        <family val="2"/>
      </rPr>
      <t xml:space="preserve">CUGY Pascale, </t>
    </r>
    <r>
      <rPr>
        <b/>
        <i/>
        <sz val="10"/>
        <color theme="1"/>
        <rFont val="Arial"/>
        <family val="2"/>
      </rPr>
      <t xml:space="preserve">La Dynastie Bonnart, peintres, graveurs et marchands de </t>
    </r>
    <r>
      <rPr>
        <b/>
        <sz val="10"/>
        <color theme="1"/>
        <rFont val="Arial"/>
        <family val="2"/>
      </rPr>
      <t>modes</t>
    </r>
    <r>
      <rPr>
        <b/>
        <i/>
        <sz val="10"/>
        <color theme="1"/>
        <rFont val="Arial"/>
        <family val="2"/>
      </rPr>
      <t xml:space="preserve"> à Paris sous l'Ancien Régime</t>
    </r>
    <r>
      <rPr>
        <b/>
        <sz val="10"/>
        <color theme="1"/>
        <rFont val="Arial"/>
        <family val="2"/>
      </rPr>
      <t>, Rennes, Presses universitaires de Rennes, 2017, p. 204-207.</t>
    </r>
  </si>
  <si>
    <t>1678-03e_508</t>
  </si>
  <si>
    <t>BnF, Est, RESERVE FOL-QB-201 (56)</t>
  </si>
  <si>
    <t>https://gallica.bnf.fr/ark:/12148/btv1b84053813</t>
  </si>
  <si>
    <t>[Modes: Femme en habit noir]*</t>
  </si>
  <si>
    <t>[La Femme en Habit noir, &amp; Jupe d'Hermine]</t>
  </si>
  <si>
    <t>13 x 10,4 cm</t>
  </si>
  <si>
    <t>Cette estampe pourrait être adaptée d'une estampe de Saint-Jean : https://gallica.bnf.fr/ark:/12148/btv1b7100181x</t>
  </si>
  <si>
    <r>
      <rPr>
        <b/>
        <sz val="10"/>
        <color theme="1"/>
        <rFont val="Arial"/>
        <family val="2"/>
      </rPr>
      <t xml:space="preserve">CUGY Pascale, </t>
    </r>
    <r>
      <rPr>
        <b/>
        <i/>
        <sz val="10"/>
        <color theme="1"/>
        <rFont val="Arial"/>
        <family val="2"/>
      </rPr>
      <t xml:space="preserve">La Dynastie Bonnart, peintres, graveurs et marchands de </t>
    </r>
    <r>
      <rPr>
        <b/>
        <sz val="10"/>
        <color theme="1"/>
        <rFont val="Arial"/>
        <family val="2"/>
      </rPr>
      <t>modes</t>
    </r>
    <r>
      <rPr>
        <b/>
        <i/>
        <sz val="10"/>
        <color theme="1"/>
        <rFont val="Arial"/>
        <family val="2"/>
      </rPr>
      <t xml:space="preserve"> à Paris sous l'Ancien Régime</t>
    </r>
    <r>
      <rPr>
        <b/>
        <sz val="10"/>
        <color theme="1"/>
        <rFont val="Arial"/>
        <family val="2"/>
      </rPr>
      <t>, Rennes, Presses universitaires de Rennes, 2017, p. 204-207.</t>
    </r>
  </si>
  <si>
    <t>1678-03e_510</t>
  </si>
  <si>
    <t>Deshabillé d'Hyver</t>
  </si>
  <si>
    <t>[Modes : femme en deshabillé d'hiver]*</t>
  </si>
  <si>
    <t>[La Femme en Des-habillé]</t>
  </si>
  <si>
    <t>vêtement ; coiffe</t>
  </si>
  <si>
    <t>Cette estampe est adaptée d'une estampe de Saint-Jean publiée en 1676-1678 la Femme de qualité en deshabillé d'hiver (P. Cugy, p. 207) : https://gallica.bnf.fr/ark:/12148/btv1b7100213f</t>
  </si>
  <si>
    <r>
      <rPr>
        <b/>
        <sz val="10"/>
        <color theme="1"/>
        <rFont val="Arial"/>
        <family val="2"/>
      </rPr>
      <t xml:space="preserve">CUGY Pascale, </t>
    </r>
    <r>
      <rPr>
        <b/>
        <i/>
        <sz val="10"/>
        <color theme="1"/>
        <rFont val="Arial"/>
        <family val="2"/>
      </rPr>
      <t xml:space="preserve">La Dynastie Bonnart, peintres, graveurs et marchands de </t>
    </r>
    <r>
      <rPr>
        <b/>
        <sz val="10"/>
        <color theme="1"/>
        <rFont val="Arial"/>
        <family val="2"/>
      </rPr>
      <t>modes</t>
    </r>
    <r>
      <rPr>
        <b/>
        <i/>
        <sz val="10"/>
        <color theme="1"/>
        <rFont val="Arial"/>
        <family val="2"/>
      </rPr>
      <t xml:space="preserve"> à Paris sous l'Ancien Régime</t>
    </r>
    <r>
      <rPr>
        <b/>
        <sz val="10"/>
        <color theme="1"/>
        <rFont val="Arial"/>
        <family val="2"/>
      </rPr>
      <t>, Rennes, Presses universitaires de Rennes, 2017, p. 204-207.</t>
    </r>
  </si>
  <si>
    <t>1678-03e_521</t>
  </si>
  <si>
    <t>Habit de Printemps</t>
  </si>
  <si>
    <t>[Modes : femme en habit de printemps]*</t>
  </si>
  <si>
    <t>La Femme en Habit de Printemps]</t>
  </si>
  <si>
    <t>Cette estampe pourrait être adaptée d'une estampe de Saint-Jean : https://gallica.bnf.fr/ark:/12148/btv1b7100284h</t>
  </si>
  <si>
    <r>
      <rPr>
        <b/>
        <sz val="10"/>
        <color theme="1"/>
        <rFont val="Arial"/>
        <family val="2"/>
      </rPr>
      <t>CUGY Pascale,</t>
    </r>
    <r>
      <rPr>
        <b/>
        <i/>
        <sz val="10"/>
        <color theme="1"/>
        <rFont val="Arial"/>
        <family val="2"/>
      </rPr>
      <t xml:space="preserve"> La Dynastie Bonnart, peintres, graveurs et marchands de </t>
    </r>
    <r>
      <rPr>
        <b/>
        <sz val="10"/>
        <color theme="1"/>
        <rFont val="Arial"/>
        <family val="2"/>
      </rPr>
      <t>modes</t>
    </r>
    <r>
      <rPr>
        <b/>
        <i/>
        <sz val="10"/>
        <color theme="1"/>
        <rFont val="Arial"/>
        <family val="2"/>
      </rPr>
      <t xml:space="preserve"> à Paris sous l'Ancien Régime</t>
    </r>
    <r>
      <rPr>
        <b/>
        <sz val="10"/>
        <color theme="1"/>
        <rFont val="Arial"/>
        <family val="2"/>
      </rPr>
      <t>, Rennes, Presses universitaires de Rennes, 2017, p. 204-207.</t>
    </r>
  </si>
  <si>
    <r>
      <rPr>
        <b/>
        <sz val="10"/>
        <rFont val="Arial"/>
        <family val="2"/>
      </rPr>
      <t xml:space="preserve">Numéro pas disponible dans Gallica au 19 ; 05 ; 21; estampe numérisée : </t>
    </r>
    <r>
      <rPr>
        <b/>
        <u/>
        <sz val="10"/>
        <color rgb="FF1155CC"/>
        <rFont val="Arial"/>
        <family val="2"/>
      </rPr>
      <t>https://gallica.bnf.fr/ark:/12148/btv1b10537826x</t>
    </r>
  </si>
  <si>
    <t>[Magasin de modes]*</t>
  </si>
  <si>
    <t>[La grande Planche où il y a deux Figures, &amp; plusieurs Desseins de Modes &amp; Echantillons]</t>
  </si>
  <si>
    <t>boutique ou atelier ; vêtement ; coiffe</t>
  </si>
  <si>
    <t>24,2 x 31,5 cm</t>
  </si>
  <si>
    <t>voir aussi notice sur la gravure: REMI Mathis, SELBACH Vanessa, MARCHESANO Louis, FUHRING Peter (dir.), Images du Grand-Siècle, l'estampe française au temps de Louis XIV (1660-1715), Paris, Bibliothèque Nationale de France, 2015, p. 91-92 ; CUGY Pascale, La Dynastie Bonnart, peintres, graveurs et marchands de modes à Paris sous l'Ancien Régime, Rennes, Presses universitaires de Rennes, 2017, p. 204-207 ; SELMECI CASTIONI, Barbara, PASCHOUD, Adrien, « Le Mercure galant (1672-1710) : un jalon significatif sur la voie de l'encyclopédisme des Lumières », Recherches sur Diderot et sur l'Encyclopédie, n°51, 2016, mis en ligne le 25 novembre 2018. URL : 
http://journals.openedition.org/rde/5394 ; DOI : https://doi.org/10.4000/rde.5394 ; SELMECI CASTIONI, Barbara, P« L'actualité gravée au temple de mémoire », Nouvelles de l'estampe [En ligne], 252 | 2015 URL : http://journals.openedition.org/estampe/1370 ; DOI : https://doi.org/10.4000/estampe.1370</t>
  </si>
  <si>
    <t>1678-04_044</t>
  </si>
  <si>
    <t>https://gallica.bnf.fr/ark:/12148/bpt6k4226770r/f61.item</t>
  </si>
  <si>
    <t>Plan du Fort d'Orange</t>
  </si>
  <si>
    <t>[Plan des fortifications du Fort d'Orange à Cayenne]*</t>
  </si>
  <si>
    <t>[Le Plan du Fort d'Orange]</t>
  </si>
  <si>
    <t>a8728820-c845-4346-a3be-285250cdfd94 : ISLE DE CAYENNE</t>
  </si>
  <si>
    <t>forteresse ; pièce d'artillerie ; église ; fleuve, rivière, ruisseau</t>
  </si>
  <si>
    <t>11,2 x 7 cm</t>
  </si>
  <si>
    <t>https://gallica.bnf.fr/ark:/12148/btv1b7100284h</t>
  </si>
  <si>
    <r>
      <rPr>
        <b/>
        <sz val="10"/>
        <color theme="1"/>
        <rFont val="Arial"/>
        <family val="2"/>
      </rPr>
      <t xml:space="preserve">Peggy Davis, Marie-Lise Poirier, "Imaginer l'Amérique : rôles et fonctions de la gravure dans le </t>
    </r>
    <r>
      <rPr>
        <b/>
        <i/>
        <sz val="10"/>
        <color theme="1"/>
        <rFont val="Arial"/>
        <family val="2"/>
      </rPr>
      <t>Mercure galant</t>
    </r>
    <r>
      <rPr>
        <b/>
        <sz val="10"/>
        <color theme="1"/>
        <rFont val="Arial"/>
        <family val="2"/>
      </rPr>
      <t>", à compléter</t>
    </r>
  </si>
  <si>
    <t>1678-04_232</t>
  </si>
  <si>
    <t>https://gallica.bnf.fr/ark:/12148/bpt6k4226770r/f261.item</t>
  </si>
  <si>
    <t>Ypres</t>
  </si>
  <si>
    <t>[Plan légendé d'Ypres]*</t>
  </si>
  <si>
    <t>[Le Plan d'Ypres]</t>
  </si>
  <si>
    <t>2702 : Ypres</t>
  </si>
  <si>
    <t xml:space="preserve">forteresse ; ville ; armoiries ; citadelle ; camp militaire ; église ; armée ; moulin ; champ ; </t>
  </si>
  <si>
    <t>26,6 x 36,5 cm</t>
  </si>
  <si>
    <r>
      <rPr>
        <b/>
        <u/>
        <sz val="10"/>
        <color rgb="FF1155CC"/>
        <rFont val="Arial"/>
        <family val="2"/>
      </rPr>
      <t>Autre gravure figurant le siège : https://gallica.bnf.fr/ark:/12148/btv1b525141207/f76.item.zoom</t>
    </r>
    <r>
      <rPr>
        <b/>
        <sz val="10"/>
        <rFont val="Arial"/>
        <family val="2"/>
      </rPr>
      <t xml:space="preserve"> : </t>
    </r>
    <r>
      <rPr>
        <b/>
        <u/>
        <sz val="10"/>
        <color rgb="FF1155CC"/>
        <rFont val="Arial"/>
        <family val="2"/>
      </rPr>
      <t>https://catalogue.bnf.fr/ark:/12148/cb42335777m</t>
    </r>
  </si>
  <si>
    <t>BnF, Ars, 8-H-26484(22)</t>
  </si>
  <si>
    <t>MG-1678-04_306</t>
  </si>
  <si>
    <t>https://gallica.bnf.fr/ark:/12148/bpt6k4226770r/f346.item</t>
  </si>
  <si>
    <t>Compte d'un Amant rendu à une Maitresse de l'Employ de son temps pendant douze heures</t>
  </si>
  <si>
    <t>[Compte rendu d'emploi du temps sous forme de cadran amoureux]*</t>
  </si>
  <si>
    <t>[Le Comte d'un Amant rendu à sa Maistresse]</t>
  </si>
  <si>
    <t>allégorie amoureuse</t>
  </si>
  <si>
    <t xml:space="preserve">cadran ou horloge ; caducée ; </t>
  </si>
  <si>
    <t>21,8 x 16 cm</t>
  </si>
  <si>
    <t>https://gallica.bnf.fr/ark:/12148/bpt6k4226770r/f369.item</t>
  </si>
  <si>
    <t>Horloge de l'Amour</t>
  </si>
  <si>
    <t>[Horloge ornée de douze cœurs qui accompagnent les heures et de devises galantes]*</t>
  </si>
  <si>
    <t>[L'Horloge d'Amour]</t>
  </si>
  <si>
    <t>allégorie amoureuse ; emblèmes et devises ; musique</t>
  </si>
  <si>
    <t>cadran ou horloge ; mer ; amours ; lion (animal) ; cerf ; cœur ; poisson (animal) ; lyre (antique) ; flèche ; oiseau ; viole de gambe</t>
  </si>
  <si>
    <t>27,2 x 19,5 cm</t>
  </si>
  <si>
    <t>Gravure manque dans l'exemplaire numérisé dans Gallica</t>
  </si>
  <si>
    <t>Habit d'Esté</t>
  </si>
  <si>
    <t>[Modes : homme en habit d'été]*</t>
  </si>
  <si>
    <t>[La Figure du Cavalier habillé à la mode]</t>
  </si>
  <si>
    <t>[Modes : femme en habit d'été]*</t>
  </si>
  <si>
    <t>[La Figure de la Femme]</t>
  </si>
  <si>
    <t>MG-1678-04_414</t>
  </si>
  <si>
    <t>MG-1678-05_358</t>
  </si>
  <si>
    <t>Solution de l'énigme.</t>
  </si>
  <si>
    <t>https://gallica.bnf.fr/ark:/12148/bpt6k4226770r/f451.item</t>
  </si>
  <si>
    <t>Marsye Enigme</t>
  </si>
  <si>
    <t>[Énigme en figure : Marsyas]*</t>
  </si>
  <si>
    <t>[Marsye, Enigme]</t>
  </si>
  <si>
    <t>Marsyas ; Apollon ; pin</t>
  </si>
  <si>
    <t>12,2 x 7,4 cm</t>
  </si>
  <si>
    <t>Reims, B.M., XXX.I.1</t>
  </si>
  <si>
    <t>MG-1678-05_128</t>
  </si>
  <si>
    <t>MG-1678-06_025</t>
  </si>
  <si>
    <t>https://gallica.bnf.fr/ark:/12148/bpt6k1204477t/f150.item</t>
  </si>
  <si>
    <t>Frontispice d'un ancien monument de la ville de Reims</t>
  </si>
  <si>
    <t>[Arc de triomphe antique découvert à Reims (porte de Mars)]*</t>
  </si>
  <si>
    <t>[L'Arc de Triomphe découvert à Rheims devrait regarder la Page 128. mais parce qu'il est trop grand &amp; d'un papier trop epais pour estre relié dans le Mercure, on le donnera avec le Livre]</t>
  </si>
  <si>
    <t>2052 : Reims</t>
  </si>
  <si>
    <t xml:space="preserve">architecture ; archéologie ; sculpture ; mythologie gréco-romaine ; </t>
  </si>
  <si>
    <t>arc de triomphe</t>
  </si>
  <si>
    <t>5973bf39-1e85-44ed-b500-163109eaa6e9</t>
  </si>
  <si>
    <t>Jean Colin</t>
  </si>
  <si>
    <t>D'après l'estampe de J. Colin, graveur rémois, éditée par les "Messieurs de Rheims" d'après le Mercure galant ("Messieurs de Rheims qui en ont fait faire l'Estampe, aussi-bien que des deux autres..." MG-1678-06 _33). Cette estampe est connue en deux états : BnF, Tolbiac, FOL-LJ9-534 (39, 3 x 58 cm) ; BnF, Arsenal, EST-1509 (65) Non consultée : numérisée ; 39, 5 x 59 cm (source : notice de la BnF). La différence avec l'état précédent résulte uniquement de la présence de l'inscription suivante : « Les planches sont au Cartulaire de l'Hostel de Ville. » Les citations dans les articles concernant l'arc de triomphe reprennent le texte de P. Rainssant, associé aux estampes de J. Colin. Autre estampe dans le Journal des Sçavans pour L'Année M. DC. LXXVIII., Jean Cusson, Paris, 1678. XIX. Journal des Sçavans, Du Lundy 30 May, M. DC. LXXVIII. : Anonyme, d'après la gravure de Colin, Frontispice d'un ancien monument de la ville de Reims, eau-forte, 22,7 x 30, 5 cm (p. 214-215). Exemplaire consulté : BnF, Arsenal, 4-H-8909-4 1677-1678.</t>
  </si>
  <si>
    <t>BnF, Ars, 8-H-26284(24)</t>
  </si>
  <si>
    <t>https://gallica.bnf.fr/ark:/12148/bpt6k1204477t/f168.item</t>
  </si>
  <si>
    <t>[Voûte de l'arc de triomphe antique découvert à Reims (porte de Mars)]*</t>
  </si>
  <si>
    <t>[Le dessein de la Voûte de l'Arcade de Leda]</t>
  </si>
  <si>
    <t>architecture ; archéologie ; mythologie gréco-romaine ; sculpture</t>
  </si>
  <si>
    <t>voûte ; Leda ; trophée ; cygne</t>
  </si>
  <si>
    <t>20,2 x 23,6 cm</t>
  </si>
  <si>
    <t>Planche gravée d'après l'estampe de J. Colin, graveur rémois, conservée à la BnF, Arsenal, EST-1547 (11). La représentation de Léda est inversée par rapport à l'édition prototypique.
https://catalogue.bnf.fr/ark:/12148/cb455404766</t>
  </si>
  <si>
    <t>Jean Colin Dessinateur ou graveur ?</t>
  </si>
  <si>
    <t>https://gallica.bnf.fr/ark:/12148/bpt6k1204477t/f316.item</t>
  </si>
  <si>
    <t>Plan de la Ville et Citadelle de Lewe</t>
  </si>
  <si>
    <t>[Plan légendé de Louvain]*</t>
  </si>
  <si>
    <t>[Relation de tout ce qui s'est passé à la prise de Leuve]</t>
  </si>
  <si>
    <t>297485 : Leuve</t>
  </si>
  <si>
    <t>forteresse ; ville ; citadelle ; trophée ; épée ; église ; drapeau ou étendard</t>
  </si>
  <si>
    <t>11,8 x 15,3 cm</t>
  </si>
  <si>
    <t>https://catalogue.bnf.fr/ark:/12148/cb415040531</t>
  </si>
  <si>
    <t>BnF, Ars, 8-H-26484(24)</t>
  </si>
  <si>
    <t>https://gallica.bnf.fr/ark:/12148/bpt6k1204477t/f395.item</t>
  </si>
  <si>
    <t>Ino Enigme</t>
  </si>
  <si>
    <t>[Énigme en figure : Ino]*</t>
  </si>
  <si>
    <t>[L'Enigme en figures]</t>
  </si>
  <si>
    <t xml:space="preserve">Ino ; mer ; Athamas ; </t>
  </si>
  <si>
    <t>7,2 x 12 cm</t>
  </si>
  <si>
    <t>1678-05_373</t>
  </si>
  <si>
    <t>https://gallica.bnf.fr/ark:/12148/bpt6k1204477t/f405.item</t>
  </si>
  <si>
    <t>Plan de la Ville de Puy-Cerda, Capitale de Cerdagne</t>
  </si>
  <si>
    <t>[Plan de Puycerda]*</t>
  </si>
  <si>
    <t>[Siège de Puycerda]</t>
  </si>
  <si>
    <t>830 : PUIGCERDÁ</t>
  </si>
  <si>
    <t>forteresse ; soleil ; citadelle ; fleuve, rivière, ruisseau ;</t>
  </si>
  <si>
    <t>12,8 x 15,8 cm</t>
  </si>
  <si>
    <t>https://gallica.bnf.fr/ark:/12148/bpt6k4227113z/f56.item</t>
  </si>
  <si>
    <t>Voute de l'Arcade de Romulus</t>
  </si>
  <si>
    <t>[L'Arcade de la Voute de Remus &amp; Romulus]</t>
  </si>
  <si>
    <t>voûte ; Remus et Romulus ; trophée ; louve</t>
  </si>
  <si>
    <t>19,7 x 24,5 cm</t>
  </si>
  <si>
    <t>D'après l'estampe de J. Colin (BnF, Arsenal, EST-1547 (12). La louve se présente dans l'autre sens (la tête est orientée à gauche), par rapport à celle de l'estampe de J. Colin.
 https://catalogue.bnf.fr/ark:/12148/cb45540484t</t>
  </si>
  <si>
    <t>https://gallica.bnf.fr/ark:/12148/bpt6k4227113z/f69.item</t>
  </si>
  <si>
    <t>Voute de l'Arcade des Saisons</t>
  </si>
  <si>
    <t>[L'Arcade des quatre Saisons]</t>
  </si>
  <si>
    <t>voûte ; Saisons ; corne d'abondance ; cerf ; cheval ; mouton ; bœuf</t>
  </si>
  <si>
    <t>19,5 x 32 cm</t>
  </si>
  <si>
    <t>D'après l'estampe de J. Colin (BnF, Arsenal, EST-1547 (10). https://catalogue.bnf.fr/ark:/12148/cb455404468</t>
  </si>
  <si>
    <t>https://gallica.bnf.fr/ark:/12148/bpt6k4227113z/f347.item</t>
  </si>
  <si>
    <t>Plan de la Ville et des Attaques de Puycerda en 1678</t>
  </si>
  <si>
    <t>[Plan de la ville et des attaques de Puycerda]*</t>
  </si>
  <si>
    <t>[Le Plan de la Vile &amp; des Attaques de Puicerda]</t>
  </si>
  <si>
    <t>topographie ; héraldique ; vie militaire</t>
  </si>
  <si>
    <t>forteresse ; pièce d'artillerie ; fleuve, rivière, ruisseau ; soleil ; armoiries ; citadelle ; champ</t>
  </si>
  <si>
    <t>24,7 x 35,6 cm</t>
  </si>
  <si>
    <t>f1664b08-5956-4999-b1a7-32c60eec279f</t>
  </si>
  <si>
    <t>Brissart, Pierre</t>
  </si>
  <si>
    <t>Sur l'estampe : "P. Brissart fecit".</t>
  </si>
  <si>
    <t>PREAUD, Maxime, GRIVEL, Marianne, LE BITOUZE, Corinne, Dictionnaire des éditeurs d'estampes à Paris sous l'ancien régime, Paris, Édition du Cercle de la librairie, 1987, p. 279.</t>
  </si>
  <si>
    <t>1678-06_338</t>
  </si>
  <si>
    <t>BnF, Ars, 8-H-26484(25)</t>
  </si>
  <si>
    <t>MG-1678-06_338</t>
  </si>
  <si>
    <t>MG-1678-07_367</t>
  </si>
  <si>
    <t>https://gallica.bnf.fr/ark:/12148/bpt6k4227113z/f389.item</t>
  </si>
  <si>
    <t>Hercule et Antée Enigme</t>
  </si>
  <si>
    <t>[Enigme en figure : Hercule et Antée]*</t>
  </si>
  <si>
    <t>[Hercule &amp; Antée Enigme]</t>
  </si>
  <si>
    <t xml:space="preserve">Hercule ; Antée ; massue ; combat mythologique ; </t>
  </si>
  <si>
    <t>7,6 x 13 cm</t>
  </si>
  <si>
    <t>MG-1678-06e_043</t>
  </si>
  <si>
    <t>[Feu d'artifice devant le Palazzo Reale à Turin]*</t>
  </si>
  <si>
    <t>[Le Feu d'artifice dressé devant le Palais de Leurs A[l]tesses Royales]</t>
  </si>
  <si>
    <t>1588 : TURIN, Palais Royal</t>
  </si>
  <si>
    <t>décor éphémère ; mythologie gréco-romaine ; personnification ; héraldique ; architecture ; sculpture</t>
  </si>
  <si>
    <t>feu d'artifice ; palais ; armoiries ; lion (animal) ; statue ; Victoire (personnification) ; temple ; place ; château ; drapeau ou étendard ; massue ; centaure ; lance ; dragon ; sceptre ; monstre</t>
  </si>
  <si>
    <t>8efc8ea4-ac27-4dee-a016-909d4dcbf812</t>
  </si>
  <si>
    <t>Savoie-Nemours_Marie-Jeanne-Baptiste (1644-1724)_duchesse de</t>
  </si>
  <si>
    <t>plans et vues ; relevé décoratif ; plans et descriptions de fêtes et de divertissements</t>
  </si>
  <si>
    <t>Brissart, Pierre ?</t>
  </si>
  <si>
    <t>Sur l'estampe : "P. B. F." Pourrait désigner Pierre Brissart.</t>
  </si>
  <si>
    <t>[Feu d'artifice dressé sur le Pô devant le château du Valentin à Turin]*</t>
  </si>
  <si>
    <t>[Le Feu d'artifice dressé sur le Pô]</t>
  </si>
  <si>
    <t>1593 : TURIN, Château du Valentin</t>
  </si>
  <si>
    <t>décor éphémère ; personnification des vices et des vertus ; héraldique ; architecture ; mythologie gréco-romaine ; sculpture</t>
  </si>
  <si>
    <t xml:space="preserve">feu d'artifice ; armoiries ; Neptune ; trident ; char ; fleuve, rivière, ruisseau ; palais ; statue ; poisson (animal) ; </t>
  </si>
  <si>
    <t>relevé décoratif ; plans et descriptions de fêtes et de divertissements</t>
  </si>
  <si>
    <t>1678-06e_296</t>
  </si>
  <si>
    <t>BnF, Ars, 8-H-26484</t>
  </si>
  <si>
    <t xml:space="preserve">Lettre en Chiffres </t>
  </si>
  <si>
    <t>lettre en chiffres</t>
  </si>
  <si>
    <t>reproduction de médaille, jeton ou monnaie ; compositions allégoriques et emblématiques</t>
  </si>
  <si>
    <t>1678-07_082</t>
  </si>
  <si>
    <t>MG-1678-07_082</t>
  </si>
  <si>
    <t>https://gallica.bnf.fr/ark:/12148/bpt6k115287t/f107.item</t>
  </si>
  <si>
    <t>[La Figure de l'Enfant porté 26. ans par sa mere]</t>
  </si>
  <si>
    <t>453 : Toulouse</t>
  </si>
  <si>
    <t>fœtus ; monstre ;</t>
  </si>
  <si>
    <t>planche scientifique</t>
  </si>
  <si>
    <t>eau-forte, burin</t>
  </si>
  <si>
    <t>https://gallica.bnf.fr/ark:/12148/bpt6k115287t/f352.item</t>
  </si>
  <si>
    <t>Rheinfelden</t>
  </si>
  <si>
    <t>[Vue légendée de Rheinfelden]*</t>
  </si>
  <si>
    <t>[La Ville de Rhinfelde]</t>
  </si>
  <si>
    <t xml:space="preserve">297547 : RHEINFELDEN </t>
  </si>
  <si>
    <t>forteresse ; ville ; fleuve, rivière, ruisseau ; montagne ; armoiries ; île ; église ; pont ; tour ; navire</t>
  </si>
  <si>
    <t>sièges et plans d'ouvrages militaires ; profil</t>
  </si>
  <si>
    <r>
      <rPr>
        <b/>
        <u/>
        <sz val="10"/>
        <color rgb="FF1155CC"/>
        <rFont val="Arial"/>
        <family val="2"/>
      </rPr>
      <t>https://gallica.bnf.fr/ark:/12148/btv1b525141207/f14.item.zoom</t>
    </r>
    <r>
      <rPr>
        <b/>
        <sz val="10"/>
        <color rgb="FF000000"/>
        <rFont val="Arial"/>
        <family val="2"/>
      </rPr>
      <t xml:space="preserve"> ; </t>
    </r>
    <r>
      <rPr>
        <b/>
        <u/>
        <sz val="10"/>
        <color rgb="FF1155CC"/>
        <rFont val="Arial"/>
        <family val="2"/>
      </rPr>
      <t>https://catalogue.bnf.fr/ark:/12148/cb42335777m</t>
    </r>
  </si>
  <si>
    <t>https://gallica.bnf.fr/ark:/12148/bpt6k115287t/f377.item</t>
  </si>
  <si>
    <t>Sekingen</t>
  </si>
  <si>
    <t>[Vue de Säckingen]*</t>
  </si>
  <si>
    <t>[La Ville de Sekigen]</t>
  </si>
  <si>
    <t>297591 : SÄCKINGEN</t>
  </si>
  <si>
    <t xml:space="preserve">forteresse ; fleuve, rivière, ruisseau ; ville ; église ; pont ; armoiries ; montagne ; </t>
  </si>
  <si>
    <t>a2a4d6b3-f8a9-4aae-8a3d-77abc6de01e9</t>
  </si>
  <si>
    <t>Trouvain, Antoine (1652?-1708) ?</t>
  </si>
  <si>
    <t>1678-07_373</t>
  </si>
  <si>
    <t>BnF, Ars, 8-H-26484(26)</t>
  </si>
  <si>
    <t>MG-1678-07_373</t>
  </si>
  <si>
    <t>https://gallica.bnf.fr/ark:/12148/bpt6k115287t/f409.item</t>
  </si>
  <si>
    <t>Le Serpent d'Epidaure, Enigme</t>
  </si>
  <si>
    <t>[Énigme en figure : le serpent d'Epidaure]*</t>
  </si>
  <si>
    <t>serpent d'Epidaure ; pyramide ; Esculape ; temple</t>
  </si>
  <si>
    <t>1678-08_027</t>
  </si>
  <si>
    <t>BnF, Ars, 8-H-26484(28)</t>
  </si>
  <si>
    <t>https://gallica.bnf.fr/ark:/12148/bpt6k115290h/f40.item</t>
  </si>
  <si>
    <t>Emblèmes de L'arc de triomphe dressé en 1678 pour la Feste du Perroquet qui se fait tous les ans à Montpellier ; Devises dont on s'est servy en 1678 dans la Feste de la Bravade qui se fait tous les ans à Aix en Provence</t>
  </si>
  <si>
    <t>[Emblèmes d'un arc de triomphe dressé à Montpellier et devises associées à la fête de la Bravade à Aix-en-Provence]*</t>
  </si>
  <si>
    <t>[La Planche qui contient sept Devises]</t>
  </si>
  <si>
    <t>422 : Montpellier ; 
2635 : AIX</t>
  </si>
  <si>
    <t xml:space="preserve">étoile ; soleil ; amours ; enclume ; cœur ; tournesol ; miroir ; flèche ; champ ; </t>
  </si>
  <si>
    <t>https://gallica.bnf.fr/ark:/12148/bpt6k115290h/f356.item</t>
  </si>
  <si>
    <t>Strasbourg</t>
  </si>
  <si>
    <t>[La ville de Strasbourg]*</t>
  </si>
  <si>
    <t>[La Ville de Strasbourg]</t>
  </si>
  <si>
    <t>1851 : STRASBOURG</t>
  </si>
  <si>
    <t xml:space="preserve">ville ; forteresse ; armoiries ; église ; montagne ; champ ; fleuve, rivière, ruisseau ; pont ; boussole ; </t>
  </si>
  <si>
    <t>Brissart, Pierre (1645?-1682)</t>
  </si>
  <si>
    <t>Sur l'estampe : "Brissart f".</t>
  </si>
  <si>
    <t>1678-08_353</t>
  </si>
  <si>
    <t>https://gallica.bnf.fr/ark:/12148/bpt6k115290h/f375.item</t>
  </si>
  <si>
    <t>La Statue de Memnon, Enigme</t>
  </si>
  <si>
    <t>[Énigme en figure : Memnon]*</t>
  </si>
  <si>
    <t>[L'Enigme en Figure]</t>
  </si>
  <si>
    <t xml:space="preserve">Memnon ; piédestal ; statue ; obélisque ; bas-relief ; vieillard ; </t>
  </si>
  <si>
    <t>BnF, 8-LC2-33</t>
  </si>
  <si>
    <t>https://gallica.bnf.fr/ark:/12148/bpt6k1152886/f86.item</t>
  </si>
  <si>
    <t>[Ornements du mausolée du maréchal du Plessis]*</t>
  </si>
  <si>
    <t>[Le Mausolée de feu Monsieur le Marechal du Plessis]</t>
  </si>
  <si>
    <t>deuil ; personnification des vices et des vertus ; héraldique ; mythologie gréco-romaine ; sculpture ; architecture ; vie militaire</t>
  </si>
  <si>
    <t>mausolée ; piédestal ; Renommée (personnification) ; amours ; Prudence (personnification)  ; Justice (personnification) ; Diane ; armoiries ; trophée ; cheval ; colonne ; Renommée (personnification)</t>
  </si>
  <si>
    <t>20c2cab2-c825-4e1f-ae26-574c7495d781</t>
  </si>
  <si>
    <t>Plessis-Praslin, César de Choiseul [1602-1675], comte du ; 84088</t>
  </si>
  <si>
    <t>15,7 x 23,8 cm</t>
  </si>
  <si>
    <t>1678-09_179</t>
  </si>
  <si>
    <t>BnF, Ars, 8-H-26484(29)</t>
  </si>
  <si>
    <t>MG-1678-09_179</t>
  </si>
  <si>
    <t>https://gallica.bnf.fr/ark:/12148/bpt6k1152886/f199.item</t>
  </si>
  <si>
    <t>[Planche de quatre devises provenant de la thèse de l'abbé de Montal]*</t>
  </si>
  <si>
    <t>[Les Devises]</t>
  </si>
  <si>
    <t>Collège du Plessis : 277970</t>
  </si>
  <si>
    <t xml:space="preserve">emblèmes et devises ; philosophie ; thèse ; personnification des vices et des vertus ; </t>
  </si>
  <si>
    <t xml:space="preserve">lion (animal) ; soleil ; arc-en-ciel ; mer ; montagne ; foudre ; </t>
  </si>
  <si>
    <t>e9437ab8-89b7-42c2-a2fd-5c3ff161279e</t>
  </si>
  <si>
    <t>Montsaulnin, François-Ignace de [?-ca.1691],abbé de Rigny ; 84110</t>
  </si>
  <si>
    <t>11,9 x 7,5 cm</t>
  </si>
  <si>
    <t>Simon, Pierre (ca. 1640-1710)</t>
  </si>
  <si>
    <t xml:space="preserve">Cette estampe reprend les motifs de la bordure du bas de la thèse de philosophie au collège du Plessis-Sorbonne de l'abbé François du Montal de Montsaulnin. Le Mercure indique : "Puis que vous vous faites un plaisir des Devises, je vous en envoye quatre nouvelles qui estoient dans la Bordure de la These" et "J'ay fait graver les quatre Devises. Vous les trouverez dans cette planche."  Voir V. Meyer (localisation de la partie supérieure de la thèse : BNF, Est., N4 Louis XIV (fig. 100) ; SNR 6 (2 épreuves)). </t>
  </si>
  <si>
    <r>
      <rPr>
        <b/>
        <sz val="10"/>
        <color theme="1"/>
        <rFont val="Arial"/>
        <family val="2"/>
      </rPr>
      <t xml:space="preserve">MEYER, Véronique, </t>
    </r>
    <r>
      <rPr>
        <b/>
        <i/>
        <sz val="10"/>
        <color theme="1"/>
        <rFont val="Arial"/>
        <family val="2"/>
      </rPr>
      <t>Pour la plus grande gloire du roi : Louis XIV en thèses : Catalogue</t>
    </r>
    <r>
      <rPr>
        <b/>
        <sz val="10"/>
        <color theme="1"/>
        <rFont val="Arial"/>
        <family val="2"/>
      </rPr>
      <t>, Rennes, Centre de recherche du château de Versailles/Presses universitaires de Rennes, 2017, n° 87.1678.8.21 ; MEYER, Véronique, "Pierre Simon (c. 1640-1710)", Nouvelles de l'estampe, Comité National de la Gravure Française, 1988, p.4-28 ; MEYER, Véronique, Pour la plus grande gloire du roi. Louis XIV en thèses, Rennes, PUR, 2017.</t>
    </r>
  </si>
  <si>
    <t>https://gallica.bnf.fr/ark:/12148/bpt6k1152886/f355.item</t>
  </si>
  <si>
    <t>Fort de Kell</t>
  </si>
  <si>
    <t>[Plan légendé du fort de Kelh]*</t>
  </si>
  <si>
    <t>[Le Plan du Fort de Kell]</t>
  </si>
  <si>
    <t>257810 : KELH</t>
  </si>
  <si>
    <t>forteresse ; île ; fleuve, rivière, ruisseau ; pont</t>
  </si>
  <si>
    <t>18,5 x 25,2 cm</t>
  </si>
  <si>
    <t>MG-1678-10_351</t>
  </si>
  <si>
    <t>Explication en vers de l'énigme en figure du mois passé, nom de ceux qui l'ont expliquée.</t>
  </si>
  <si>
    <t>https://gallica.bnf.fr/ark:/12148/bpt6k1152886/f382.item</t>
  </si>
  <si>
    <t>Daphné Enigme</t>
  </si>
  <si>
    <t>[Énigme en figure : Daphné]*</t>
  </si>
  <si>
    <t xml:space="preserve">Daphné ; Apollon ; </t>
  </si>
  <si>
    <t>BnF, 8-Lc2-34</t>
  </si>
  <si>
    <t>MG-1678-09e_122</t>
  </si>
  <si>
    <t>MG-1678-09e_390</t>
  </si>
  <si>
    <t>Description des éléments décoratifs de la tour.</t>
  </si>
  <si>
    <t>https://gallica.bnf.fr/ark:/12148/bpt6k6383830z/f152.item</t>
  </si>
  <si>
    <t>Tour de Porcelaine</t>
  </si>
  <si>
    <t>[Tour de porcelaine en Chine]*</t>
  </si>
  <si>
    <t>[La Tour de Porcelaine]</t>
  </si>
  <si>
    <t>1355 : Chine</t>
  </si>
  <si>
    <t>architecture ; sculpture</t>
  </si>
  <si>
    <t>tour ; dragon ; cloche</t>
  </si>
  <si>
    <t>Trouvain, Antoine (1652?-1708) ; 83898</t>
  </si>
  <si>
    <t>Sur l'estampe : "Trouvain. Sculp."</t>
  </si>
  <si>
    <r>
      <rPr>
        <b/>
        <sz val="10"/>
        <color rgb="FF000000"/>
        <rFont val="Arial"/>
        <family val="2"/>
      </rPr>
      <t xml:space="preserve">Manesson-Mallet, Allain, </t>
    </r>
    <r>
      <rPr>
        <b/>
        <i/>
        <sz val="10"/>
        <color rgb="FF000000"/>
        <rFont val="Arial"/>
        <family val="2"/>
      </rPr>
      <t xml:space="preserve">Description de l'univers, contenant les différents systèmes du monde, les cartes générales, et particulières de la géographie ancienne et moderne, les plans et les profils des principales villes et des autres lieux plus considérables de la terre </t>
    </r>
    <r>
      <rPr>
        <b/>
        <sz val="10"/>
        <color rgb="FF000000"/>
        <rFont val="Arial"/>
        <family val="2"/>
      </rPr>
      <t xml:space="preserve">[...], Paris, Thierry, 1683, p. 39. </t>
    </r>
    <r>
      <rPr>
        <b/>
        <u/>
        <sz val="10"/>
        <color rgb="FF1155CC"/>
        <rFont val="Arial"/>
        <family val="2"/>
      </rPr>
      <t>https://gallica.bnf.fr/ark:/12148/bpt6k87028102/f53.item</t>
    </r>
  </si>
  <si>
    <r>
      <rPr>
        <b/>
        <sz val="10"/>
        <rFont val="Arial"/>
        <family val="2"/>
      </rPr>
      <t xml:space="preserve">LEGRAND, Anne-Sophie, </t>
    </r>
    <r>
      <rPr>
        <b/>
        <i/>
        <sz val="10"/>
        <rFont val="Arial"/>
        <family val="2"/>
      </rPr>
      <t xml:space="preserve">Antoine Trouvain, 1652-1708 : graveur et éditeur d'estampes, </t>
    </r>
    <r>
      <rPr>
        <b/>
        <sz val="10"/>
        <rFont val="Arial"/>
        <family val="2"/>
      </rPr>
      <t xml:space="preserve">Mémoire de maîtrise en histoire de l'art, </t>
    </r>
    <r>
      <rPr>
        <b/>
        <i/>
        <sz val="10"/>
        <rFont val="Arial"/>
        <family val="2"/>
      </rPr>
      <t>sous la direction d'Antoine Schnapper</t>
    </r>
    <r>
      <rPr>
        <b/>
        <sz val="10"/>
        <rFont val="Arial"/>
        <family val="2"/>
      </rPr>
      <t xml:space="preserve">, Université de Paris IV Sorbonne, 1995. </t>
    </r>
    <r>
      <rPr>
        <b/>
        <u/>
        <sz val="10"/>
        <color rgb="FF1155CC"/>
        <rFont val="Arial"/>
        <family val="2"/>
      </rPr>
      <t>https://estampe.hypotheses.org/tag/antoine-trouvain</t>
    </r>
    <r>
      <rPr>
        <b/>
        <sz val="10"/>
        <rFont val="Arial"/>
        <family val="2"/>
      </rPr>
      <t xml:space="preserve"> </t>
    </r>
  </si>
  <si>
    <t>1678-09e_286</t>
  </si>
  <si>
    <t>MG-1678-09e_286</t>
  </si>
  <si>
    <t>https://gallica.bnf.fr/ark:/12148/bpt6k6383830z/f304.item</t>
  </si>
  <si>
    <t>Lettre en chiffres</t>
  </si>
  <si>
    <t xml:space="preserve">1762 : RÉPUBLIQUE DE VENISE ; 1743 : SIENNE ; 1235 : DUCHÉ DE MILAN ; 1639 : DUCHÉ DE PARME ; 759 : ROYAUME D'ESPAGNE ; 1357 : COMTAT VENAISSIN ; 1562 : DUCHÉ DE SAVOIE ; 577 : RÉPUBLIQUE DE GENÈVE ; 1438 : EMPIRE OTTOMAN ; 1724 : FLORENCE ; 1646 : ÉTATS PONTIFICAUX ; 1812 : ROYAUME DE FRANCE ; 617 : ROYAUME DE GRANDE-BRETAGNE ; 1855 : PRINCIPAUTÉ DE DOMBES ; 218104 : NAVARRE FRANÇOISE </t>
  </si>
  <si>
    <t>alphabets et écritures codées ; héraldique</t>
  </si>
  <si>
    <t>lettre en chiffres ; monnaie ; armoiries ; lion de saint Marc ; saint Pierre ; saint Paul ; pape ; saint Etienne de Portugal</t>
  </si>
  <si>
    <t>015f87f8-2467-4723-9d5d-722a064d5265 ; 9b0a2e66-b27a-4fda-b0f9-526f636b400d ; b94c5da7-efe4-4b92-a64e-b773320fcae1</t>
  </si>
  <si>
    <t>Clément VIII, pape (sed. 1592-1605) ; Henri II (1519-1559), roi de France ; Philippe III (1578-1621), roi d'Espagne</t>
  </si>
  <si>
    <t>584c4791-4496-4adc-b8c0-7fbe5b4342dc</t>
  </si>
  <si>
    <t>Source de l'hypothèse d'attribution ? Estampe non signée.</t>
  </si>
  <si>
    <t>BnF, Est., IFN 8405362</t>
  </si>
  <si>
    <t>https://gallica.bnf.fr/ark:/12148/bpt6k6383830z/f416.item</t>
  </si>
  <si>
    <t>[Le feu d'artifice]</t>
  </si>
  <si>
    <t>90 : PARIS, Hôtel de ville</t>
  </si>
  <si>
    <t xml:space="preserve">décor éphémère ; architecture ; sculpture ; personnification des vices et des vertus ; mythologie gréco-romaine ; </t>
  </si>
  <si>
    <t>feu d'artifice ; piédestal ; statue ; lance ; trophée ; Justice (personnification) ; Paix (personnification) ; Joie publique (personnification) ; Abondance (personnification) ; Félicité (personnification) ; bas-relief ; lance ; caducée ;  ; pyramide</t>
  </si>
  <si>
    <t>Beaulieu, de (16...-16...)</t>
  </si>
  <si>
    <t xml:space="preserve">Sur l'estampe : "de beaulieu scul." </t>
  </si>
  <si>
    <r>
      <rPr>
        <b/>
        <sz val="10"/>
        <color theme="1"/>
        <rFont val="Arial"/>
        <family val="2"/>
      </rPr>
      <t xml:space="preserve">WEIGERT, Roger-Armand, </t>
    </r>
    <r>
      <rPr>
        <b/>
        <i/>
        <sz val="10"/>
        <color theme="1"/>
        <rFont val="Arial"/>
        <family val="2"/>
      </rPr>
      <t>Inventaire du fonds français, graveurs du XVIIe siècle. Tome premier, Jean Alix- Jean Boudeau</t>
    </r>
    <r>
      <rPr>
        <b/>
        <sz val="10"/>
        <color theme="1"/>
        <rFont val="Arial"/>
        <family val="2"/>
      </rPr>
      <t>, Paris, Bibliothèque nationale, 1939, p. 337.</t>
    </r>
  </si>
  <si>
    <t>1678-10_063</t>
  </si>
  <si>
    <t>https://gallica.bnf.fr/ark:/12148/bpt6k115291w/f76.item</t>
  </si>
  <si>
    <t>Plan du Pont de Starsbourg et des Forts qui en dépendent le tout fait à la vuë</t>
  </si>
  <si>
    <t>[Plan légendé de la ville de Strasbourg vue depuis le pont]*</t>
  </si>
  <si>
    <t>[Le Plan du Pont de Strasbourg &amp; ses trois forts]</t>
  </si>
  <si>
    <t>pont ; forteresse ; fleuve, rivière, ruisseau ; île</t>
  </si>
  <si>
    <t>1678-10_276</t>
  </si>
  <si>
    <t>https://gallica.bnf.fr/ark:/12148/bpt6k115291w/f294.item</t>
  </si>
  <si>
    <t>Médailles</t>
  </si>
  <si>
    <t>[Planche de médailles pour les sacres et les mariages des rois]*</t>
  </si>
  <si>
    <t>[La Planche de Medailles]</t>
  </si>
  <si>
    <t>607 : ROYAUME DE DANEMARK ; 1047 : SAINT EMPIRE ROMAIN GERMANIQUE</t>
  </si>
  <si>
    <t>emblématique ; personnification des vices et des vertus ; mythologie gréco-romaine ; topographie ; religion ; généalogie ; personnification</t>
  </si>
  <si>
    <t xml:space="preserve">médaille ; serpent ; autel ; foudre ; médaille ; palmier ; armée ; tour ; cheval ; lion (animal) ; char ; corne d'abondance ; ville ; trophée ; serpent ; tour ; drapeau ou étendard ; arc de triomphe ; Victoire (personnification) ; Trois Grâces ; aigle ; captifs ; église ; trophée ; ville ; armoiries ; piédestal ; temple ; globe ; Paix (personnification) ; Renommée (personnification) ; Atlas ; étoile ; Hercule ; Rébellion (personnification) ; Fortune (personnification) ; combat ; tombeau ; globe ; pape ; lys ; Fortune (personnification) ; chien ; sabre ; lit ; main ; </t>
  </si>
  <si>
    <t>c903e88c-aab9-4720-bab4-5ffad30f2704 ; a7e97396-b900-4032-8485-557594603c6d ; b16fabff-405c-439f-ae15-68d4c2fe2c0f ; 586b08cc-a051-48a6-a29f-c0bc29bf902c ; 7df66d2f-0ecf-43ac-8e81-97ba899deafa ; 8c8ad460-b368-48ba-8420-31599033ce85</t>
  </si>
  <si>
    <t xml:space="preserve">arc_jeanne d_(1412-1431) ; christian_ii_(1481-1559)_roi_de__danemark ; aegidius_strauch_(1632-1682) ; charles-quint_(1500-1558)_empereur_du_saint_empire_romain_germanique ; portugal_isabelle_de_(1503-1539)_imperatrice_germanique ; Louis XIII_(1601-1643)_roi_de_France ; </t>
  </si>
  <si>
    <t>portraits en médaille</t>
  </si>
  <si>
    <t>https: ; / catalogue.bnf.fr ; ark: ; 12148 ; cb415040620</t>
  </si>
  <si>
    <t xml:space="preserve">SELMECI CASTIONI, Barbara, « L'actualité gravée au temple de mémoire », Nouvelles de l'estampe [En ligne], 252 | 2015, mis en ligne le 15 octobre 2019, consulté le 19 juillet 2022. URL : http://journals.openedition.org/estampe/1370 ; DOI : https://doi.org/10.4000/estampe.1370 . LEGRAND, Anne-Sophie, Antoine Trouvain, 1652-1708 : graveur et éditeur d'estampes, Mémoire de maîtrise en histoire de l'art, sous la direction d'Antoine Schnapper, Université de Paris IV Sorbonne, 1995. https://estampe.hypotheses.org/tag/antoine-trouvain </t>
  </si>
  <si>
    <t>https://gallica.bnf.fr/ark:/12148/bpt6k115291w/f375.item</t>
  </si>
  <si>
    <t>Méduse, Enigme</t>
  </si>
  <si>
    <t>[Énigme en figure : Méduse]*</t>
  </si>
  <si>
    <t xml:space="preserve">Méduse ; Persée ; </t>
  </si>
  <si>
    <t>https://gallica.bnf.fr/ark:/12148/bpt6k115291w/f394.item</t>
  </si>
  <si>
    <t>[La Figure du Cavalier]</t>
  </si>
  <si>
    <r>
      <rPr>
        <b/>
        <sz val="10"/>
        <color theme="1"/>
        <rFont val="Arial"/>
        <family val="2"/>
      </rPr>
      <t>Cette estampe adapte une œuvre publiée par Jean Dieu de Saint-Jean en 1676-1678 l'</t>
    </r>
    <r>
      <rPr>
        <b/>
        <i/>
        <sz val="10"/>
        <color theme="1"/>
        <rFont val="Arial"/>
        <family val="2"/>
      </rPr>
      <t>Habit de Cavallier</t>
    </r>
    <r>
      <rPr>
        <b/>
        <sz val="10"/>
        <color theme="1"/>
        <rFont val="Arial"/>
        <family val="2"/>
      </rPr>
      <t>.</t>
    </r>
  </si>
  <si>
    <t>https://gallica.bnf.fr/ark:/12148/btv1b71001118</t>
  </si>
  <si>
    <t>https://gallica.bnf.fr/ark:/12148/bpt6k115291w/f397.item</t>
  </si>
  <si>
    <t>[Modes : femme en habit d'hiver]*</t>
  </si>
  <si>
    <t>[La Figure de La Femme]</t>
  </si>
  <si>
    <t>MG-1678-11_001</t>
  </si>
  <si>
    <t>https://gallica.bnf.fr/ark:/12148/bpt6k115289k/f27.item</t>
  </si>
  <si>
    <t>[La Medaille des Hollandois]</t>
  </si>
  <si>
    <t>558 : PROVINCES UNIES</t>
  </si>
  <si>
    <t>emblématique ; vie militaire</t>
  </si>
  <si>
    <t>médaille ; lys ; sept flèches des Provinces-Unies</t>
  </si>
  <si>
    <t>reproduction de médaille, jeton ou monnaie</t>
  </si>
  <si>
    <t>13 x 6,6 cm</t>
  </si>
  <si>
    <t>Conjungunt sua tela leo sua lilia gallus</t>
  </si>
  <si>
    <t>A Domino veniens populis pax lætare fulget</t>
  </si>
  <si>
    <t>Plan de la Ville et du Chasteau de Liechtemberg</t>
  </si>
  <si>
    <t>[Plan légendé de la ville et du château de Lichtenberg, en Alsace]*</t>
  </si>
  <si>
    <t>[Le Plan de Liechtemberg]</t>
  </si>
  <si>
    <t>296911 : LICHTENBERG</t>
  </si>
  <si>
    <t xml:space="preserve">forteresse ; pièce d'artillerie ; tour ; château ; </t>
  </si>
  <si>
    <t>34,1 x 25,7 cm</t>
  </si>
  <si>
    <t>MG-1678-11_322</t>
  </si>
  <si>
    <t>https://gallica.bnf.fr/ark:/12148/bpt6k115289k/f347.item</t>
  </si>
  <si>
    <t>Table Généalogique de la Maison des Ducs Sforze</t>
  </si>
  <si>
    <t>[Généalogie de la famille Sforza]*</t>
  </si>
  <si>
    <t>[La Table Genealogique de la Maison des Sforze]</t>
  </si>
  <si>
    <t>généalogie</t>
  </si>
  <si>
    <t>écriture ;</t>
  </si>
  <si>
    <t>table généalogique ;</t>
  </si>
  <si>
    <t>1678-11_360</t>
  </si>
  <si>
    <t>BnF, Ars, 8-H-26484(32)</t>
  </si>
  <si>
    <t>MG-1678-12_291</t>
  </si>
  <si>
    <t>https://gallica.bnf.fr/ark:/12148/bpt6k115289k/f385.item</t>
  </si>
  <si>
    <t>Eurydice, Enigme</t>
  </si>
  <si>
    <t>[Énigme en figure : Eurydice]*</t>
  </si>
  <si>
    <r>
      <rPr>
        <b/>
        <sz val="10"/>
        <color theme="1"/>
        <rFont val="Comic Sans MS"/>
        <family val="4"/>
      </rPr>
      <t>Eurydice ; Orphée ; spectres ;</t>
    </r>
    <r>
      <rPr>
        <b/>
        <sz val="10"/>
        <color rgb="FFFF00FF"/>
        <rFont val="Comic Sans MS"/>
        <family val="4"/>
      </rPr>
      <t xml:space="preserve"> </t>
    </r>
    <r>
      <rPr>
        <b/>
        <sz val="10"/>
        <color rgb="FF000000"/>
        <rFont val="Comic Sans MS"/>
        <family val="4"/>
      </rPr>
      <t>lira da braccio ;</t>
    </r>
  </si>
  <si>
    <t>11,8 x 7,4 cm</t>
  </si>
  <si>
    <t>https://gallica.bnf.fr/ark:/12148/bpt6k1152928/f123.item</t>
  </si>
  <si>
    <t>Description du Laboratoire des Capucins du Louvre</t>
  </si>
  <si>
    <t>[Vue de l'intérieur du laboratoire des Capucins au Louvre]*</t>
  </si>
  <si>
    <t>[Le Laboratoire des Capucins du Louvre]</t>
  </si>
  <si>
    <t>121 : PARIS, Palais du Louvre</t>
  </si>
  <si>
    <t>médecine ; héraldique</t>
  </si>
  <si>
    <t xml:space="preserve">boutique ou atelier ; officine ; soleil ; armoiries ; moine ; serpent ; </t>
  </si>
  <si>
    <t>25 x 38,5 cm</t>
  </si>
  <si>
    <t>SELMECI CASTIONI, Barbara, PASCHOUD, Adrien, « Le Mercure galant (1672-1710) : un jalon significatif sur la voie de l'encyclopédisme des Lumières », Recherches sur Diderot et sur l'Encyclopédie, n°51, 2016, mis en ligne le 25 novembre 2018. URL : http://journals.openedition.org/rde/5394 ; DOI : https://doi.org/10.4000/rde.5394</t>
  </si>
  <si>
    <t>https://gallica.bnf.fr/ark:/12148/bpt6k1152928/f301.item</t>
  </si>
  <si>
    <t>[Mausolée de François-Mallier du Houssay, évêque de Troyes]*</t>
  </si>
  <si>
    <t>[Le Mausolée]</t>
  </si>
  <si>
    <t>2078 : TROYES</t>
  </si>
  <si>
    <t>deuil ; architecture ; sculpture ; héraldique</t>
  </si>
  <si>
    <t>mausolée ; piédestal ; statue ; armoiries</t>
  </si>
  <si>
    <t>e936e3d9-c577-4a98-81b0-53f07e223612</t>
  </si>
  <si>
    <t>Houssay, François-Mallier du [1603-1681]</t>
  </si>
  <si>
    <t>31 x 8 cm</t>
  </si>
  <si>
    <t>MG-1679-01_328</t>
  </si>
  <si>
    <t>Nom de celui qui a expliqué l'énigme.</t>
  </si>
  <si>
    <t>Hercule et Prométhée Enigme</t>
  </si>
  <si>
    <t>[Énigme en figure : Hercule et Prométhée]*</t>
  </si>
  <si>
    <t>Hercule ; Prométhée ; aigle ;</t>
  </si>
  <si>
    <t>13,1 x 7,8 cm</t>
  </si>
  <si>
    <t>1678-12e_000</t>
  </si>
  <si>
    <t>MG-1679-01_000b</t>
  </si>
  <si>
    <t>https://gallica.bnf.fr/ark:/12148/bpt6k6373165g/f8.item</t>
  </si>
  <si>
    <t>[Épître au roi]*</t>
  </si>
  <si>
    <t>[La Figure dans laquelle l'Epistre au Roy est gravée, doit estre au devant de la premiere Page de la matiere]</t>
  </si>
  <si>
    <r>
      <rPr>
        <b/>
        <sz val="11"/>
        <color theme="1"/>
        <rFont val="Courier New"/>
        <family val="1"/>
      </rPr>
      <t xml:space="preserve">2096 : GOUVERNEMENT DE FRANCHE-COMTÉ ; 275840 : DUCHÉ DE LORRAINE ; 1062 : GAND ; 1055 : CHARLEROY ; 297471 : COURTRAI ; </t>
    </r>
    <r>
      <rPr>
        <b/>
        <sz val="11"/>
        <color rgb="FFFF00FF"/>
        <rFont val="Courier New"/>
        <family val="1"/>
      </rPr>
      <t>97ae0457-e1be-4a87-9aa1-870d26baf012 : OUDENARDE</t>
    </r>
    <r>
      <rPr>
        <b/>
        <sz val="11"/>
        <color theme="1"/>
        <rFont val="Courier New"/>
        <family val="1"/>
      </rPr>
      <t xml:space="preserve"> ; 1067 : LIMBOURG ; 1191 : MAASTRICHT ; 2722 : ATH ; </t>
    </r>
    <r>
      <rPr>
        <b/>
        <sz val="11"/>
        <color rgb="FFFF00FF"/>
        <rFont val="Courier New"/>
        <family val="1"/>
      </rPr>
      <t>393e52fd-cd05-4495-86fb-f7564c5cdd2a : BINCHE ; 82136f45-2446-4ec3-9b80-50866b5c5cf8 : LESVE ; 2bf93721-da6e-4a67-99dc-f6f114aeaa47 : SAINT GUILIN</t>
    </r>
    <r>
      <rPr>
        <b/>
        <sz val="11"/>
        <color theme="1"/>
        <rFont val="Courier New"/>
        <family val="1"/>
      </rPr>
      <t xml:space="preserve"> ; 830 : PUIGCERDÁ ; 2733 : VALENCIENNES ; 2718 : CAMBRAY ; 2714 : SAINT-OMER ; 225046 : AIRE ; 275851 : CONDÉ ; 2702 : YPRES; </t>
    </r>
    <r>
      <rPr>
        <b/>
        <sz val="11"/>
        <color rgb="FFFF00FF"/>
        <rFont val="Courier New"/>
        <family val="1"/>
      </rPr>
      <t>d9962a32-ea21-4c15-9ad4-4c340cd0a209 : BAILLEUL</t>
    </r>
    <r>
      <rPr>
        <b/>
        <sz val="11"/>
        <color theme="1"/>
        <rFont val="Courier New"/>
        <family val="1"/>
      </rPr>
      <t xml:space="preserve"> ; 2723 : BOUCHAIN ; </t>
    </r>
    <r>
      <rPr>
        <b/>
        <sz val="11"/>
        <color rgb="FFFF00FF"/>
        <rFont val="Courier New"/>
        <family val="1"/>
      </rPr>
      <t xml:space="preserve">afb25721-f0cb-4a47-8278-0bb5ea0a3719 : BAVAI </t>
    </r>
    <r>
      <rPr>
        <b/>
        <sz val="11"/>
        <color theme="1"/>
        <rFont val="Courier New"/>
        <family val="1"/>
      </rPr>
      <t xml:space="preserve">; 2728 : MAUBEUGE ; </t>
    </r>
    <r>
      <rPr>
        <b/>
        <sz val="11"/>
        <color rgb="FFFF00FF"/>
        <rFont val="Courier New"/>
        <family val="1"/>
      </rPr>
      <t>3a3bceac-fd10-4126-8043-8d58d56188cd : POPERINGUES ; 1dfb8bd5-27f1-43ef-9100-335efb02c822 : WARNETON</t>
    </r>
  </si>
  <si>
    <t>emblématique ; personnification des vices et des vertus ; vie militaire</t>
  </si>
  <si>
    <t>épître ; ville ; forteresse ; citadelle ; Renommée (personnification) ; soleil ; armoiries ; montagne</t>
  </si>
  <si>
    <t>louis_xiv_(1638-1715)_roi_de_france ;</t>
  </si>
  <si>
    <t>compositions allégoriques et emblématiques ; sièges et plans d'ouvrages militaires</t>
  </si>
  <si>
    <t>49,6 x 36,6 cm</t>
  </si>
  <si>
    <t>Estampe non signée. Source de l'hypothèse d'attribution ?</t>
  </si>
  <si>
    <t>SELMECI CASTIONI, Barbara, « L'actualité gravée au temple de mémoire », Nouvelles de l'estampe [En ligne], 252 | 2015, mis en ligne le 15 octobre 2019, consulté le 19 juillet 2022. URL : http://journals.openedition.org/estampe/1370 ; DOI : https://doi.org/10.4000/estampe.1370</t>
  </si>
  <si>
    <t>1678-12e_155</t>
  </si>
  <si>
    <t>https://gallica.bnf.fr/ark:/12148/bpt6k6373165g/f163.item</t>
  </si>
  <si>
    <t>[Figure représentant Athéna tenant un bouclier, gravée à l'occasion de la paix de Nimègue]*</t>
  </si>
  <si>
    <t>[La Pallas qui tient un Bouclier]</t>
  </si>
  <si>
    <t>emblèmes et devises ; mythologie gréco-romaine</t>
  </si>
  <si>
    <t xml:space="preserve">Pallas ; bouclier ; trophée ; piédestal ; Méduse ; lance ; pièce d'artillerie ; soleil ; foudre ; balance ; cadran ou horloge ; arc-en-ciel ; globe terrestre ; aigle ; navire ; champ ; mer ; </t>
  </si>
  <si>
    <t>37,7 x 22,7 cm</t>
  </si>
  <si>
    <t>Sur l'estampe : "A. Trouvain Sculpsit".</t>
  </si>
  <si>
    <t>https://catalogue.bnf.fr/ark:/12148/cb415040651</t>
  </si>
  <si>
    <r>
      <rPr>
        <b/>
        <sz val="10"/>
        <color theme="1"/>
        <rFont val="Arial"/>
        <family val="2"/>
      </rPr>
      <t xml:space="preserve">LEGRAND, Anne-Sophie, </t>
    </r>
    <r>
      <rPr>
        <b/>
        <i/>
        <sz val="10"/>
        <color theme="1"/>
        <rFont val="Arial"/>
        <family val="2"/>
      </rPr>
      <t>Antoine Trouvain, 1652-1708 : graveur et éditeur d'estampes, Mémoire de maîtrise en histoire de l'art</t>
    </r>
    <r>
      <rPr>
        <b/>
        <sz val="10"/>
        <color theme="1"/>
        <rFont val="Arial"/>
        <family val="2"/>
      </rPr>
      <t xml:space="preserve">, sous la direction d'Antoine Schnapper, Université de Paris IV Sorbonne, 1995. https://estampe.hypotheses.org/tag/antoine-trouvain </t>
    </r>
  </si>
  <si>
    <t>https://gallica.bnf.fr/ark:/12148/bpt6k6373165g/f357.item</t>
  </si>
  <si>
    <t>Revers de Médailles à la gloire de Louis le Grand</t>
  </si>
  <si>
    <t>[Revers de médailles à la gloire de Louis XIV]*</t>
  </si>
  <si>
    <t>[La Figure où sont les Revers de Medailles]</t>
  </si>
  <si>
    <t>276175 : PARIS, Hôtel des Invalides, église ; 121 : PARIS, Palais du Louvre</t>
  </si>
  <si>
    <t>emblématique ; personnification des vices et des vertus ; personnification des villes, des États et des fleuves ; mythologie gréco-romaine ; architecture ; vie académique ; héraldique ; personnification</t>
  </si>
  <si>
    <t xml:space="preserve">médaille ; palme ; épée ; pyramide ; massue ; Hercule ; colonne ; Paix (personnification) ; Victoire (personnification) ; Pallas ; soleil ; lion (animal) ; char ; mer ; aigle ; château ; tour ; épée ; temple ; armoiries ; Gloire (personnification) ; Magnanimité (personnification) ; Force (personnification) ; Fleuve (personnification) ; Prudence (personnification) ; France (personnification) ; obélisque ; radeau ; coq ; arc-en-ciel ; balance ; foudre ; olivier ; laurier ; caducée ; lys ; pyramide </t>
  </si>
  <si>
    <t>57,2 x 34,2 cm</t>
  </si>
  <si>
    <t>Sur l'estampe : "Trouvain Sculp."</t>
  </si>
  <si>
    <t>https://catalogue.bnf.fr/ark:/12148/cb415040620</t>
  </si>
  <si>
    <t>LEGRAND, Anne-Sophie, Antoine Trouvain, 1652-1708 : graveur et éditeur d'estampes, Mémoire de maîtrise en histoire de l'art, sous la direction d'Antoine Schnapper, Université de Paris IV Sorbonne, 1995. https://estampe.hypotheses.org/tag/antoine-trouvain SELMECI CASTIONI, Barbara, « L'actualité gravée au temple de mémoire », Nouvelles de l'estampe, vol. 252, 2015, p. 52-66. URL : http://journals.openedition.org/estampe/1370</t>
  </si>
  <si>
    <t>MG-1679-01_013</t>
  </si>
  <si>
    <t>https://gallica.bnf.fr/ark:/12148/bpt6k4227068k/f31.item</t>
  </si>
  <si>
    <t>[Feu d'artifice représentant le temple de Janus dressé devant l'Hôtel de ville de Paris pour la paix d'Espagne]*</t>
  </si>
  <si>
    <t>[La Figure du Feu]</t>
  </si>
  <si>
    <t>décor éphémère ; personnification des vices et des vertus ; mythologie gréco-romaine ; architecture ; sculpture</t>
  </si>
  <si>
    <t>feu d'artifice ; Janus ; temple de Janus ; Mercure ; piédestal ; Cérès ;
 Arts libéraux (personnification) ; bas-relief ; caducée ; gerbe ; globe
 ; clef</t>
  </si>
  <si>
    <t>24 x 19 cm</t>
  </si>
  <si>
    <t>https://gallica.bnf.fr/ark:/12148/bpt6k4227068k/f327.item</t>
  </si>
  <si>
    <t>[Navire de guerre construit à Marseille]*</t>
  </si>
  <si>
    <t>[La Galere]</t>
  </si>
  <si>
    <t xml:space="preserve">2659 : MARSEILLE, Arsenal </t>
  </si>
  <si>
    <t>architecture navale ; héraldique ; vie militaire</t>
  </si>
  <si>
    <t>galère ; drapeau ou étendard ; armoiries</t>
  </si>
  <si>
    <t>sièges et plans d'ouvrages militaires</t>
  </si>
  <si>
    <t>21 x 30,9 cm</t>
  </si>
  <si>
    <t>BnF, Ars, 8-H-26484(36)</t>
  </si>
  <si>
    <t>MG-1679-01_327</t>
  </si>
  <si>
    <t>https://gallica.bnf.fr/ark:/12148/bpt6k4227068k/f357.item</t>
  </si>
  <si>
    <t>Phaéton Enigme</t>
  </si>
  <si>
    <t>[Énigme en figure : Phaéton]*</t>
  </si>
  <si>
    <t>Phaéton ; char ; cheval ; foudre</t>
  </si>
  <si>
    <t>composition mythologique ; compositions allégoriques et emblématiques</t>
  </si>
  <si>
    <t>12,4 x 7,8 cm</t>
  </si>
  <si>
    <t>1679-02_100</t>
  </si>
  <si>
    <t>https://gallica.bnf.fr/ark:/12148/bpt6k4227090d/f120.item</t>
  </si>
  <si>
    <t>[Médaille représentant Jean III Sobieski et Marie-Casimire-Louise de la Grange d'Arquien]*</t>
  </si>
  <si>
    <t>[La Medaille du Roy et de la Reyne de Pologne]</t>
  </si>
  <si>
    <t>588 : ROYAUME DE POLOGNE</t>
  </si>
  <si>
    <t>emblématique</t>
  </si>
  <si>
    <t>médaille ; bouclier ; palmier ; olivier</t>
  </si>
  <si>
    <t>68644800-8a21-4826-ae63-b55300e58a5a ; 84089d2f-ccc2-4bfa-a033-4a8570aa7377</t>
  </si>
  <si>
    <t xml:space="preserve">jean_iii_sobieski_(1629-1696)_roi_de_pologne ; marie-casimir_(1641-1716)_reine_de_pologne ; </t>
  </si>
  <si>
    <t>12,5 x 7,5 cm</t>
  </si>
  <si>
    <t>Pol. M.D.L.R.P. Joan. III. Rex. t Maria Cas. Reg.</t>
  </si>
  <si>
    <t>Tuetur Olivam. Palma Parit Scutumque. Corona</t>
  </si>
  <si>
    <t>MG-1679-02_219</t>
  </si>
  <si>
    <t>https://gallica.bnf.fr/ark:/12148/bpt6k4227090d/f249.item</t>
  </si>
  <si>
    <t>Empire de Mars</t>
  </si>
  <si>
    <t>[Carte allégorique représentant l'empire de Mars]*</t>
  </si>
  <si>
    <t>[L'Empire de Mars]</t>
  </si>
  <si>
    <t>cartes allégoriques et de galanterie ; mythologie gréco-romaine</t>
  </si>
  <si>
    <t xml:space="preserve">Mars ; armée ; arc de triomphe ; église ; camp militaire ; fleuve, rivière, ruisseau ; camp militaire ; ville ; forteresse ; église ; trophée ; statue ; cheval ; </t>
  </si>
  <si>
    <t>26,4 x 31,6 cm</t>
  </si>
  <si>
    <t>1679-02_357</t>
  </si>
  <si>
    <t>https://gallica.bnf.fr/ark:/12148/bpt6k4227090d/f391.item</t>
  </si>
  <si>
    <t>Jupiter et Vulcain Enigme</t>
  </si>
  <si>
    <t>[Énigme en figure : Vulcain opérant Jupiter]*</t>
  </si>
  <si>
    <t>Jupiter ; aigle ; Vulcain ; marteau ; palais</t>
  </si>
  <si>
    <t xml:space="preserve">1679-03_124 </t>
  </si>
  <si>
    <t>BnF, 8-H-26484 (38)</t>
  </si>
  <si>
    <t>MG-1679-03_124</t>
  </si>
  <si>
    <t>https://gallica.bnf.fr/ark:/12148/bpt6k42270690/f141.item</t>
  </si>
  <si>
    <t>[Tombeau du Marquis de Navailles, Philippe III de Montaut-Bénac]*</t>
  </si>
  <si>
    <t>[Le Tombeau de Monsieur le Marquis de Montaut]</t>
  </si>
  <si>
    <t>deuil ; héraldique ; architecture ; sculpture</t>
  </si>
  <si>
    <t xml:space="preserve">armoiries ; trophée ; tombeau ; drapeau ou étendard
 </t>
  </si>
  <si>
    <t>c3044ef1-420d-45b8-a168-704b5ac95d22</t>
  </si>
  <si>
    <t>navailles_philippe_iii_de_montaut-bénac_(1656-1678),_marquis_de</t>
  </si>
  <si>
    <t>1679-03_256</t>
  </si>
  <si>
    <t>https://gallica.bnf.fr/ark:/12148/bpt6k42270690/f276.item</t>
  </si>
  <si>
    <t>[Planche de neuf médailles venues d'Allemagne]*</t>
  </si>
  <si>
    <t>[La Planche des médailles]</t>
  </si>
  <si>
    <r>
      <rPr>
        <b/>
        <sz val="11"/>
        <color theme="1"/>
        <rFont val="Courier New"/>
        <family val="1"/>
      </rPr>
      <t xml:space="preserve">1547 : POMERANIE OCCIDENTALE ; </t>
    </r>
    <r>
      <rPr>
        <b/>
        <sz val="11"/>
        <color rgb="FFFF00FF"/>
        <rFont val="Courier New"/>
        <family val="1"/>
      </rPr>
      <t xml:space="preserve">8c795757-f3f3-46c8-8a1d-28606f5628ee : ISLE DE RUGEN </t>
    </r>
    <r>
      <rPr>
        <b/>
        <sz val="11"/>
        <color theme="1"/>
        <rFont val="Courier New"/>
        <family val="1"/>
      </rPr>
      <t xml:space="preserve">; 558 : PROVINCES UNIES </t>
    </r>
  </si>
  <si>
    <t>607 : ROYAUME DE DANEMARK ; 1527 : EMPIRE SUÉDOIS ; 1225 : PHILIPPSBURG</t>
  </si>
  <si>
    <t>emblématique ; vie militaire ; topographie</t>
  </si>
  <si>
    <t xml:space="preserve">médaille ; forteresse ; ville ; armée ; mer ; épée ; palmier ; fleuve, rivière, ruisseau ; ville ; soleil ; forteresse ; char ; cheval ; amours ; île ; Soleil (personnification) </t>
  </si>
  <si>
    <t>1480e2ab-f3d6-4915-a0c0-9a5b55fd56b6 ; badaa78b-c5a8-4856-9fd3-2f784a3cdf73 ; 777f05b7-b9ba-4dbe-aa11-4c0e190f38a7 ; b16fabff-405c-439f-ae15-68d4c2fe2c0f ; 68644800-8a21-4826-ae63-b55300e58a5a ; 8b779253-8e86-47c6-a17f-5df42a70ed44</t>
  </si>
  <si>
    <t>louis_xiv_(1638-1715)_roi_de_france ; christian_v_(1646-1699)_roi_de_danemark ; charles_xi_(1655-1697)_roi_de_suède ; aegidius_strauch_(1632-1682) ; jean_iii sobieski_(1629-1696)_roi_de_pologne ; brunswick-hanovre_frederic-auguste_de_(1661-1690)</t>
  </si>
  <si>
    <t>46,5 x 16,8 cm</t>
  </si>
  <si>
    <t>1679-03_351</t>
  </si>
  <si>
    <t>https://gallica.bnf.fr/ark:/12148/bpt6k42270690/f376.item</t>
  </si>
  <si>
    <t>Orytie Enigme</t>
  </si>
  <si>
    <t>[Énigme en figure : L'enlèvement d'Orythie]*</t>
  </si>
  <si>
    <t>Orythie ; Borée</t>
  </si>
  <si>
    <t>12,6 x 7,9 cm</t>
  </si>
  <si>
    <t>1679-03e_000</t>
  </si>
  <si>
    <t>https://gallica.bnf.fr/ark:/12148/bpt6k6373444b/f7.item</t>
  </si>
  <si>
    <t>[Portrait d'Anne-Marie d'Orléans, duchesse de Savoie]*</t>
  </si>
  <si>
    <t>[Le Portrait de Madame la Duchesse de Savoye doit regarder l'Epistre]</t>
  </si>
  <si>
    <t>14332a6d-2367-412a-8252-c4cdc8292d46</t>
  </si>
  <si>
    <t>savoie_anne-marie_dorleans_(1669-1728)_duchesse_de</t>
  </si>
  <si>
    <t>portrait</t>
  </si>
  <si>
    <t>12,7 x 7,5 cm</t>
  </si>
  <si>
    <t xml:space="preserve">LEGRAND, Anne-Sophie, Antoine Trouvain, 1652-1708 : graveur et éditeur d'estampes, Mémoire de maîtrise en histoire de l'art, sous la direction d'Antoine Schnapper, Université de Paris IV Sorbonne, 1995. https://estampe.hypotheses.org/tag/antoine-trouvain </t>
  </si>
  <si>
    <t>1679-03e_172</t>
  </si>
  <si>
    <t xml:space="preserve">BnF, Est., IFN 8405369 </t>
  </si>
  <si>
    <t>Annonce de la publication d'un "Cadran Solaire en taille-douce, d'une nouvelle invention, dans lequel treize des principales Actions de Sa Majesté sont marquées par autant d'effets du Soleil".</t>
  </si>
  <si>
    <t>https://gallica.bnf.fr/ark:/12148/bpt6k6373444b/f208.item</t>
  </si>
  <si>
    <t>Cadran Horizontal</t>
  </si>
  <si>
    <t>[Cadran solaire dont les positions du soleil sont figurées par les victoires de Louis XIV]*</t>
  </si>
  <si>
    <t>[Le Cadran Horizontal]</t>
  </si>
  <si>
    <t xml:space="preserve">allégorie et rhétorique ; vie militaire ; héraldique ; </t>
  </si>
  <si>
    <t xml:space="preserve">cadran ou horloge ; soleil ; armoiries ; piédestal ; fontaine ; </t>
  </si>
  <si>
    <t>burin</t>
  </si>
  <si>
    <t>4869b53e-5c43-4d53-a364-b8e40e2f6a22</t>
  </si>
  <si>
    <t>Michault, René (fl. 1666-1684) ; 83978 (graveur en lettres)</t>
  </si>
  <si>
    <t>Sur l'estampe : "R. Michault Scrip.".</t>
  </si>
  <si>
    <t>1679-03e_272</t>
  </si>
  <si>
    <t>Annonce de la publication d'une "nouvelle Lettre en chiffre".</t>
  </si>
  <si>
    <t>https://gallica.bnf.fr/ark:/12148/bpt6k6373444b/f311.item</t>
  </si>
  <si>
    <t>Lettre en Chifres</t>
  </si>
  <si>
    <t>[La Lettre en chiffres]</t>
  </si>
  <si>
    <t>lettre en chiffres ; armoiries</t>
  </si>
  <si>
    <t>1679-03e_391</t>
  </si>
  <si>
    <t>Article non transcrit</t>
  </si>
  <si>
    <t>https://gallica.bnf.fr/ark:/12148/bpt6k6373444b/f434.item</t>
  </si>
  <si>
    <t>[Devises avec les armes du chancelier Le Tellier]*</t>
  </si>
  <si>
    <t>emblèmes et devises ; personnification des vices et des vertus ; mythologie gréco-romaine ; héraldique ; vie académique</t>
  </si>
  <si>
    <t>soleil ; étoile ; serpent ; armoiries ; Justice (personnification) ; fontaine ; palais ; fleuve, rivière, ruisseau ; Daphné ; Apollon ; lézard ; licorne ; balance ; chien ; miroir ; couleuvre ; Astrée ; aigle ; miroir ; montagne ; foudre ; fleuve, rivière, ruisseau ; écluse</t>
  </si>
  <si>
    <t>06cc6a97-a959-4b97-be44-8b4e26046cc7</t>
  </si>
  <si>
    <t>le_tellier_michel_(1603-1685)</t>
  </si>
  <si>
    <t>43 x 16,1 cm</t>
  </si>
  <si>
    <t>1679-04_181</t>
  </si>
  <si>
    <t>https://gallica.bnf.fr/ark:/12148/bpt6k4227057s/f208.item</t>
  </si>
  <si>
    <t>[Deux revers de médaille sur les bâtiments]*</t>
  </si>
  <si>
    <t>[Medailles sur les Bastimens du Roy]</t>
  </si>
  <si>
    <t>médaille ; ruche ; abeille ; nid ; mer ; navire ; alcyon</t>
  </si>
  <si>
    <t xml:space="preserve">reproduction de médaille, jeton ou monnaie ; compositions allégoriques et emblématiques ; </t>
  </si>
  <si>
    <t>13 x 7 cm</t>
  </si>
  <si>
    <t>[Premier revers :] Fervet. Opus. Nec. Bella. Morantur. [Exergue :] Ædif. Reg. 1678 [Second revers :] Pace. Data. Ædificat. [Exergue :] Ædif regla 1679</t>
  </si>
  <si>
    <t>BnF, Ars, 8-H-26484(39)</t>
  </si>
  <si>
    <t>MG-1679-04_248</t>
  </si>
  <si>
    <t>https://gallica.bnf.fr/ark:/12148/bpt6k4227057s/f293.item</t>
  </si>
  <si>
    <t>Triomphe de Belise</t>
  </si>
  <si>
    <t>[Allégorie du triomphe de Bélise]*</t>
  </si>
  <si>
    <t>[Le Triomphe de Belise]</t>
  </si>
  <si>
    <t xml:space="preserve">pyramide ; amours ; cœur ; bas-relief ; </t>
  </si>
  <si>
    <t>1679-04_360</t>
  </si>
  <si>
    <t>https://gallica.bnf.fr/ark:/12148/bpt6k4227057s/f394.item</t>
  </si>
  <si>
    <t>Narcisse Enigme</t>
  </si>
  <si>
    <t>[Énigme en figure : Narcisse]*</t>
  </si>
  <si>
    <t>Narcisse ; fontaine ; flèche</t>
  </si>
  <si>
    <t>11,8 x 7,5 cm</t>
  </si>
  <si>
    <t>MG-1679-05_001</t>
  </si>
  <si>
    <t>https://gallica.bnf.fr/ark:/12148/bpt6k6227265f/f24.item</t>
  </si>
  <si>
    <t>[Feu d'artifice à l'occasion de la Paix de Cologne]*</t>
  </si>
  <si>
    <t>[Le Feu]</t>
  </si>
  <si>
    <t>décor éphémère ; personnification des vices et des vertus ; mythologie gréco-romaine ; sculpture ; architecture</t>
  </si>
  <si>
    <t xml:space="preserve">feu d'artifice ; piédestal ; Apollon ; Paix (personnification) ; statue ; étoile ; lyre (antique) ; Iris ; laurier ; </t>
  </si>
  <si>
    <t>1679-05_302</t>
  </si>
  <si>
    <t>https://gallica.bnf.fr/ark:/12148/bpt6k6227265f/f323.item</t>
  </si>
  <si>
    <t>[Médaille représentant Charles II, roi d'Espagne]*</t>
  </si>
  <si>
    <t>[La Médaille qui représente le Roy d'Espagne]</t>
  </si>
  <si>
    <t>759 : ROYAUME D'ESPAGNE</t>
  </si>
  <si>
    <t>médaille ; forteresse ; ville ; mer ; citadelle ; main ; navire ; palme</t>
  </si>
  <si>
    <t>492a1279-2e89-4195-b02d-590e4b62c9af</t>
  </si>
  <si>
    <t>charles_ii_(1661-1700)_roi_despagne ;</t>
  </si>
  <si>
    <t>12,5 x 7,6 cm</t>
  </si>
  <si>
    <t>D'après une médaille de Roëtttiers, Joseph (1635-1703) ; 83878. Sur l'avers de la médaille : "Roett".</t>
  </si>
  <si>
    <t>Carolus. D. G. Hispaniarym et indiarum rex flandriæ comes. [Exergue :] Roett</t>
  </si>
  <si>
    <t>Flandria. Ostendæ.</t>
  </si>
  <si>
    <t>1679-05_344</t>
  </si>
  <si>
    <t>BnF, Ars, 8-H-26484(43)</t>
  </si>
  <si>
    <t>MG-1679-06_326</t>
  </si>
  <si>
    <t>Explication de l'énigme en figure.</t>
  </si>
  <si>
    <t>https://gallica.bnf.fr/ark:/12148/bpt6k6227265f/f367.item</t>
  </si>
  <si>
    <t>Hyacinthe Enigme</t>
  </si>
  <si>
    <t>[Énigme en figure : Hyacinthe]*</t>
  </si>
  <si>
    <t xml:space="preserve">Hyacinthe ; Apollon ; </t>
  </si>
  <si>
    <t>13,4 x 8 cm</t>
  </si>
  <si>
    <t>1679-06_203</t>
  </si>
  <si>
    <t>https://gallica.bnf.fr/ark:/12148/bpt6k6225207c/f225.item</t>
  </si>
  <si>
    <t>[Portrait de Guillaume III d'Orange et de Marie II Stuart, duchesse d'York]*</t>
  </si>
  <si>
    <t>[La Médaille qui représente le Prince d'Orange, &amp; la Duchesse d'York au Revers]</t>
  </si>
  <si>
    <t>médaille ; cuirasse</t>
  </si>
  <si>
    <t>aae46a2c-35ad-44ab-8713-42db5eefcc4e ; a37d8d58-e4a3-4c6b-95b0-1f62e30c37c6</t>
  </si>
  <si>
    <t xml:space="preserve">orange-nassau_guillaume_iii_d_(1650-1702) ; stuart_marie_ii_(1662-1694) ; </t>
  </si>
  <si>
    <t>11,8 x 6,9 cm</t>
  </si>
  <si>
    <t>Guilh III dg prin aur hol et wes gu</t>
  </si>
  <si>
    <t>Maria. D. G. Aur. Prin. Nat. De. Iorc.</t>
  </si>
  <si>
    <t>1679-06_294</t>
  </si>
  <si>
    <t>https://gallica.bnf.fr/ark:/12148/bpt6k6225207c/f319.item</t>
  </si>
  <si>
    <t>[Médaille : portrait de Léopold Ier de Habsbourg, avec au revers l'enlèvement d'Europe]*</t>
  </si>
  <si>
    <t>[Le Portrait de l'Empereur, dont le Revers represente l'Enlevement d'Europe]</t>
  </si>
  <si>
    <t>1047 : SAINT EMPIRE ROMAIN GERMANIQUE</t>
  </si>
  <si>
    <t>emblématique ; mythologie gréco-romaine</t>
  </si>
  <si>
    <t xml:space="preserve">Europe ; médaille ; palme ; Jupiter ; taureau (animal) </t>
  </si>
  <si>
    <t>851e0991-590a-4d26-97d7-cd90c1390b55</t>
  </si>
  <si>
    <t xml:space="preserve">habsbourg_leopold_i_de_(1640-1705) ; </t>
  </si>
  <si>
    <t>Leopold. Rom : Imp. Caes : aug :</t>
  </si>
  <si>
    <t>Pax et salus. [Exergue :] Europae</t>
  </si>
  <si>
    <t>MG-1679-07_363</t>
  </si>
  <si>
    <t>https://gallica.bnf.fr/ark:/12148/bpt6k6225207c/f356.item</t>
  </si>
  <si>
    <t>Proserpine, Enigme</t>
  </si>
  <si>
    <t>[Énigme en figure : Proserpine]*</t>
  </si>
  <si>
    <t xml:space="preserve">Proserpine ; char ; trident ; cheval ; </t>
  </si>
  <si>
    <t>12,1 x 6,9 cm</t>
  </si>
  <si>
    <t>1679-06e_161</t>
  </si>
  <si>
    <t>https://gallica.bnf.fr/ark:/12148/bpt6k6373045c/f177.item</t>
  </si>
  <si>
    <t>Devises pour des cachets</t>
  </si>
  <si>
    <t>[Planche contenant trente-neuf devises]*</t>
  </si>
  <si>
    <t>[Les Devises pour les Cachets]</t>
  </si>
  <si>
    <t>pièce d'artillerie ; cœur ; anneau ; moulin ; Vents ; nid ; amours ; cage ; oiseau ; miroir ; fontaine ; phénix ; étoile ; Pallas ; soufflet</t>
  </si>
  <si>
    <t>1679-06e_222</t>
  </si>
  <si>
    <t>https://gallica.bnf.fr/ark:/12148/bpt6k6373045c/f237.item</t>
  </si>
  <si>
    <t>[Planche de médailles]*</t>
  </si>
  <si>
    <t>[Les médailles]</t>
  </si>
  <si>
    <t>5248a68a-b12d-44d1-a57d-bac8494d6c91 : OSTENDE</t>
  </si>
  <si>
    <t xml:space="preserve">558 : PROVINCES UNIES ; 679 : ÉCOSSE ; 759 : ROYAUME D'ESPAGNE ; </t>
  </si>
  <si>
    <t xml:space="preserve">emblématique ; héraldique ; mythologie gréco-romaine ; personnification des villes, des États et des fleuves ; </t>
  </si>
  <si>
    <t>médaille ; canal ; bouclier ; lance ; fleuve, rivière, ruisseau ; ville ; forteresse ; armoiries ; armée navale ; caducée ; Mercure ; Leo Belgicus ; combat naval ; Flandres (personnification) ; Renommée (personnification) ; Minerve</t>
  </si>
  <si>
    <t>D'après une médaille de Roëtttiers, Joseph (1635-1703) ; 83878. Sur la première médaille située à gauche : "Roett". Sur la sixième médaille située à droite : "Joan Roett F".</t>
  </si>
  <si>
    <t>1679-07_159</t>
  </si>
  <si>
    <t>https://gallica.bnf.fr/ark:/12148/bpt6k6219069r/f181.item</t>
  </si>
  <si>
    <t>[Feu d'artifice donné à Villeneuve en l'honeur du roi]*</t>
  </si>
  <si>
    <t>[Le Feu d'Artifice]</t>
  </si>
  <si>
    <t>275881 : VILLENEUVE-LE-ROY</t>
  </si>
  <si>
    <t>décor éphémère ; mythologie gréco-romaine ; héraldique ; emblématique ; sculpture ; architecture</t>
  </si>
  <si>
    <t>feu d'artifice ; trophée ; drapeau ou étendard ; statue ; Mars ; bouclier ; Vulcain ; sabre ; palmier ; armoiries</t>
  </si>
  <si>
    <t>1679-07_317</t>
  </si>
  <si>
    <t>Article transcrit : MG-1679-07_317</t>
  </si>
  <si>
    <t>https://gallica.bnf.fr/ark:/12148/bpt6k6219069r/f337.item</t>
  </si>
  <si>
    <t>[Médaille gravée à l'occasion de la paix de Nimègue, entre Louis XIV et les États-généraux]*</t>
  </si>
  <si>
    <t>[La Medaille gravée]</t>
  </si>
  <si>
    <t>emblématique ; personnification des villes, des États et des fleuves ; personnification des vices et des vertus ; héraldique ; mythologie gréco-romaine ; vie militaire ; personnification</t>
  </si>
  <si>
    <t>médaille ; Pallas ; Mars ; armoiries ; drapeau ou étendard ; aigle ; armoiries ; mer ; ville ; serpent ; soleil ; Victoire (personnification) ; Mercure ; autel ; amours ; France (personnification) ; Hollande (personnification) ; globe ; Discorde (personnification) ; palme ; navire ; mer ; amours ; olivier ; arme ; aigle ; pièce d'artillerie</t>
  </si>
  <si>
    <t>https://gallica.bnf.fr/ark:/12148/bpt6k6219069r/f384.item</t>
  </si>
  <si>
    <t>Salmonée, Enigme</t>
  </si>
  <si>
    <t>[Énigme en figure : Salmonée]*</t>
  </si>
  <si>
    <t>Salmonée ; char ; cheval ; pyramide ;</t>
  </si>
  <si>
    <t>MG-1679-08_146</t>
  </si>
  <si>
    <t>https://gallica.bnf.fr/ark:/12148/bpt6k6487244d/f161.item</t>
  </si>
  <si>
    <t>[Mosaïque antique exhumée (au XIIIe s. ca) dans la vigne de M. Cassaire, apothicaire à Lyon]*</t>
  </si>
  <si>
    <t>[La Mosaïque]</t>
  </si>
  <si>
    <t>536 : Lyon</t>
  </si>
  <si>
    <t>archéologie ; mythologie gréco-romaine ; décor</t>
  </si>
  <si>
    <t>mosaïque</t>
  </si>
  <si>
    <t>1679-08_267</t>
  </si>
  <si>
    <t>https://gallica.bnf.fr/ark:/12148/bpt6k6487244d/f283.item</t>
  </si>
  <si>
    <t>[Disposition de la table pour le service du dessert royal]*</t>
  </si>
  <si>
    <t>[Le Plan du Dessert Royal de Versailles]</t>
  </si>
  <si>
    <t>227 : VERSAILLES, Château de</t>
  </si>
  <si>
    <t>décor éphémère</t>
  </si>
  <si>
    <t>1679-08_362</t>
  </si>
  <si>
    <t>MG-1679-09_364b</t>
  </si>
  <si>
    <t>https://gallica.bnf.fr/ark:/12148/bpt6k6487244d/f385.item</t>
  </si>
  <si>
    <t>Hésione Enigme</t>
  </si>
  <si>
    <t>[Énigme en figure: Hésione]*</t>
  </si>
  <si>
    <t>Hésione ; Hercule ; mer ; navire ; massue ; drapeau ou étendard</t>
  </si>
  <si>
    <t>BnF, 8-Lc2-33 ; BnF, Ars, 8-H-26484(46)</t>
  </si>
  <si>
    <t>MG-1679-09_055</t>
  </si>
  <si>
    <t>https://gallica.bnf.fr/ark:/12148/bpt6k6220333n/f68.item</t>
  </si>
  <si>
    <t>[Feu d'artifice donné pour la fête de la Saint-Louis]*</t>
  </si>
  <si>
    <t>[Le Feu d'artifice]</t>
  </si>
  <si>
    <t>manufacture_des_gobelins ; academie_royale_de_peinture_et_de_sculpture</t>
  </si>
  <si>
    <t>décor éphémère ; personnification des vices et des vertus ; héraldique ; architecture ; vie académique</t>
  </si>
  <si>
    <t>feu d'artifice ; armoiries ; arc de triomphe ; trophée ; Justice (personnification) ; Valeur (personnification) ; Abondance (personnification) ; Sagesse (personnification) ; Orgueil (personnification) ; Ambition (personnification) ; Jalousie (personnification) ; Envie (personnification) ; Alliance de la France avec l'Espagne (personnification) ; soleil</t>
  </si>
  <si>
    <t>dd472c65-6980-4431-bf1e-cab567de2130</t>
  </si>
  <si>
    <r>
      <rPr>
        <b/>
        <u/>
        <sz val="10"/>
        <color rgb="FF1155CC"/>
        <rFont val="Arial"/>
        <family val="2"/>
      </rPr>
      <t>Leclerc Sébastien (1637-1714)</t>
    </r>
    <r>
      <rPr>
        <b/>
        <sz val="10"/>
        <rFont val="Arial"/>
        <family val="2"/>
      </rPr>
      <t xml:space="preserve"> ; 83924</t>
    </r>
  </si>
  <si>
    <t>https://catalogue.bnf.fr/ark:/12148/cb41504245z</t>
  </si>
  <si>
    <r>
      <rPr>
        <b/>
        <sz val="10"/>
        <color theme="1"/>
        <rFont val="Arial"/>
        <family val="2"/>
      </rPr>
      <t xml:space="preserve">PREAUD, Maxime, </t>
    </r>
    <r>
      <rPr>
        <b/>
        <i/>
        <sz val="10"/>
        <color theme="1"/>
        <rFont val="Arial"/>
        <family val="2"/>
      </rPr>
      <t>Inventaire du fonds français, graveurs du XVIIe siècle, tome 8, Volume 1, Sébastien Leclerc</t>
    </r>
    <r>
      <rPr>
        <b/>
        <sz val="10"/>
        <color theme="1"/>
        <rFont val="Arial"/>
        <family val="2"/>
      </rPr>
      <t>, Paris, Bibliothèque nationale, 1980.</t>
    </r>
  </si>
  <si>
    <t>1679-09_359</t>
  </si>
  <si>
    <t>https://gallica.bnf.fr/ark:/12148/bpt6k6220333n/f371.item</t>
  </si>
  <si>
    <t>[Deux médailles : portrait du roi (non gravé) et une allégorie de la France au revers ; Deuxième médaille : La Liberté des États Généraux, représentée en déesse et entourée des allégories de la Prudence et de la France ; Profil de la ville de Nimègue au revers]*</t>
  </si>
  <si>
    <t>Les médailles</t>
  </si>
  <si>
    <t>574 : NIMÈGUE</t>
  </si>
  <si>
    <t xml:space="preserve">558 : PROVINCES UNIES ; 1812 : ROYAUME DE FRANCE </t>
  </si>
  <si>
    <t>emblématique ; personnification des vices et des vertus ; héraldique ; vie militaire</t>
  </si>
  <si>
    <t>médaille ; armoiries ; ville ; lion (animal) ; Paix (personnification) ; soleil ; Liberté des États-généraux des Pays-Bas (personnification)  ; Leo Belgicus ; Prudence (personnification) ; France (personnification) ; navire ; soleil ; serpent ; miroir ; rameau d'olivier ; sept flèches des Provinces-Unies ; corne d'abondance ; forteresse ; église</t>
  </si>
  <si>
    <t>BnF, Ars, 8-H-26484(46)</t>
  </si>
  <si>
    <t>https://gallica.bnf.fr/ark:/12148/bpt6k6220333n/f380.item</t>
  </si>
  <si>
    <t>Clythie Enigme</t>
  </si>
  <si>
    <t>[Énigme en figure : Clythie]*</t>
  </si>
  <si>
    <t>Clythie ; soleil ; Hélios</t>
  </si>
  <si>
    <t>1679-09e_194</t>
  </si>
  <si>
    <t>[Portrait du Prince-électeur de Brandebourg]*</t>
  </si>
  <si>
    <t>[La Médaille de l'Electeur de Brandebourg]</t>
  </si>
  <si>
    <t>1156 : BRANDEBOURG</t>
  </si>
  <si>
    <t xml:space="preserve">emblématique ; héraldique ; </t>
  </si>
  <si>
    <t>médaille ; aigle ; armoiries ; ville ; mer ; armée ; épée ; pièce d'artillerie ; camp militaire ; navire ; oiseau ; couronne</t>
  </si>
  <si>
    <t>d01978b3-b0f8-44b2-8fcc-3905f7568cfe</t>
  </si>
  <si>
    <t xml:space="preserve">frederic_i_(1657-1713)_roi_en_prusse ; </t>
  </si>
  <si>
    <t>Sur l'avers de la médaille : "h. iun."</t>
  </si>
  <si>
    <t>Frid. Wilh. D. G. March. &amp; Elect. Brand. Svp. Dom. DVX. Pruss. [Exergue :] h. iun. 1663</t>
  </si>
  <si>
    <t>Nec im bellem ferroces progenerant aquilæ columbam [Exergue :] 1663</t>
  </si>
  <si>
    <t>MG-1679-09e_325</t>
  </si>
  <si>
    <t>Le Triomphe du Soleil</t>
  </si>
  <si>
    <t>[Feu d'artifice donné à Reims]*</t>
  </si>
  <si>
    <t>[Le Feu de Rheims]</t>
  </si>
  <si>
    <t>2052 : REIMS</t>
  </si>
  <si>
    <t>décor éphémère ; mythologie gréco-romaine ; architecture ; sculpture ; emblématique</t>
  </si>
  <si>
    <t xml:space="preserve">feu d'artifice ; soleil ; fontaine ; aigle ; étoile ; mer ; char ; cheval ; Soleil (personnification) ; zodiaque ; bas-relief ; pièce d'artillerie ; lune ; lyre (antique) ; salamandre ; Pluton ; pyramide ; épée ; amours ; piédestal ; </t>
  </si>
  <si>
    <t>10,7 x 44,7 cm</t>
  </si>
  <si>
    <t>1679-10a_222</t>
  </si>
  <si>
    <t>https://gallica.bnf.fr/ark:/12148/bpt6k63348601/f239.item</t>
  </si>
  <si>
    <t>[La planche avec quatre médailles]*</t>
  </si>
  <si>
    <t>[La Planche des Médailles]</t>
  </si>
  <si>
    <t xml:space="preserve">617 : ROYAUME DE GRANDE-BRETAGNE </t>
  </si>
  <si>
    <t>emblématique ; personnification des vices et des vertus ; mythologie gréco-romaine</t>
  </si>
  <si>
    <t>médaille ; trident ; armée ; ville ; Mars ; lion (animal) ; Rébellion (personnification) ; cheval ; Neptune ; conque ; Religion (personnification) ; corne d'abondance ; soleil ; église ; épée ; mer</t>
  </si>
  <si>
    <t>1480e2ab-f3d6-4915-a0c0-9a5b55fd56b6 ; d9f58665-1d5d-46cf-8d94-d1d31a2a984d ; 331cc4e7-56cb-4ee2-9d41-d8735be38287</t>
  </si>
  <si>
    <t>louis_xiv_(1638-1715)_roi_de_france ; charles_ii_(1630-1685)_roi_d_angleterre ; catherine_de_bragance_(1638-1705)_reine_d_angleterre</t>
  </si>
  <si>
    <r>
      <rPr>
        <b/>
        <sz val="10"/>
        <color theme="1"/>
        <rFont val="Arial"/>
        <family val="2"/>
      </rPr>
      <t xml:space="preserve">D'après une médaille de </t>
    </r>
    <r>
      <rPr>
        <b/>
        <sz val="10"/>
        <color rgb="FFFF00FF"/>
        <rFont val="Arial"/>
        <family val="2"/>
      </rPr>
      <t>Philippe Roëttiers</t>
    </r>
    <r>
      <rPr>
        <b/>
        <sz val="10"/>
        <color theme="1"/>
        <rFont val="Arial"/>
        <family val="2"/>
      </rPr>
      <t>. Sur la deuxième médaille située à gauche : "Philip Rot F."</t>
    </r>
  </si>
  <si>
    <t>1679-10a_348</t>
  </si>
  <si>
    <t>https://gallica.bnf.fr/ark:/12148/bpt6k63348601/f369.item</t>
  </si>
  <si>
    <t>Ichare Enigme</t>
  </si>
  <si>
    <t>[Énigme en figure : Icare]*</t>
  </si>
  <si>
    <t>Icare ; soleil ; tour ; mer</t>
  </si>
  <si>
    <t>MG-1679-10b_043</t>
  </si>
  <si>
    <t>https://gallica.bnf.fr/ark:/12148/bpt6k6216093g/f89.item</t>
  </si>
  <si>
    <t>[Portrait de Marie-Louise d'Orléans, reine d'Espagne]*</t>
  </si>
  <si>
    <t>[Le Portrait de la Reyne d'Espagne]</t>
  </si>
  <si>
    <t>mode vestimentaire ; généalogie ; apparat</t>
  </si>
  <si>
    <t>vêtement ; diamant</t>
  </si>
  <si>
    <t>7430f56c-7409-4880-a0ba-f91d5caad8a2</t>
  </si>
  <si>
    <t xml:space="preserve">marie-louise_(1662-1689)_reine_despagne ; </t>
  </si>
  <si>
    <t>portrait ; dessin de mode</t>
  </si>
  <si>
    <r>
      <rPr>
        <b/>
        <sz val="10"/>
        <color theme="1"/>
        <rFont val="Arial"/>
        <family val="2"/>
      </rPr>
      <t xml:space="preserve">Sur l'estampe : "A. Trouvain Sculp". </t>
    </r>
    <r>
      <rPr>
        <b/>
        <sz val="10"/>
        <color rgb="FFFF00FF"/>
        <rFont val="Arial"/>
        <family val="2"/>
      </rPr>
      <t>Source de l'hypothèse d'attribution du modèle à Jean Berain ? Note manuscrite sur la planche reproduite</t>
    </r>
  </si>
  <si>
    <r>
      <rPr>
        <b/>
        <sz val="10"/>
        <color theme="1"/>
        <rFont val="Arial"/>
        <family val="2"/>
      </rPr>
      <t xml:space="preserve">LEGRAND, Anne-Sophie, </t>
    </r>
    <r>
      <rPr>
        <b/>
        <i/>
        <sz val="10"/>
        <color theme="1"/>
        <rFont val="Arial"/>
        <family val="2"/>
      </rPr>
      <t>Antoine Trouvain, 1652-1708 : graveur et éditeur d'estampes</t>
    </r>
    <r>
      <rPr>
        <b/>
        <sz val="10"/>
        <color theme="1"/>
        <rFont val="Arial"/>
        <family val="2"/>
      </rPr>
      <t xml:space="preserve">, Mémoire de maîtrise en histoire de l'art, sous la direction d'Antoine Schnapper, Université de Paris IV Sorbonne, 1995. https://estampe.hypotheses.org/tag/antoine-trouvain </t>
    </r>
  </si>
  <si>
    <t>https://gallica.bnf.fr/ark:/12148/bpt6k6216093g/f184.item</t>
  </si>
  <si>
    <t>[Disposition de la chapelle de Fontainebleau pour le mariage de Marie-Louise d'Orléans, dite Mademoiselle, avec Charles II d'Espagne]*</t>
  </si>
  <si>
    <t>[Le Plan de la Chapelle]</t>
  </si>
  <si>
    <t>295 : FONTAINEBLEAU, Château de, chapelle</t>
  </si>
  <si>
    <t>architecture ; décor éphémère</t>
  </si>
  <si>
    <t>chapelle</t>
  </si>
  <si>
    <t>c986ee13-e230-4cee-ab8f-8797f8c87eb4</t>
  </si>
  <si>
    <t>marie-louise_(1662-1689)_reine_despagne ; charles_ii_(1661-1700)_roi_despagne</t>
  </si>
  <si>
    <t>relevé décoratif ; plan de bâtiment</t>
  </si>
  <si>
    <t>1679-10b_215</t>
  </si>
  <si>
    <t>https://gallica.bnf.fr/ark:/12148/bpt6k6216093g/f223.item</t>
  </si>
  <si>
    <t>[Fer de pertuisane]*</t>
  </si>
  <si>
    <t>[La Planche qui représente un Fer de Peruisane]</t>
  </si>
  <si>
    <t>objets décoratifs et d'apparat ; personnification des vices et des vertus ; héraldique ; mythologie gréco-romaine</t>
  </si>
  <si>
    <t xml:space="preserve">cheval ; char ; armoiries ; lion (animal) ; aigle ; Renommée (personnification) ; arme ; trophée ; Mars ; soleil </t>
  </si>
  <si>
    <t>1679-11_089</t>
  </si>
  <si>
    <t>https://gallica.bnf.fr/ark:/12148/bpt6k6218372z/f99.item</t>
  </si>
  <si>
    <t>[Obélisque de Plombières]*</t>
  </si>
  <si>
    <t>[L'Obélisque de Plombieres]</t>
  </si>
  <si>
    <t>296849 : PLOMBIÈRES</t>
  </si>
  <si>
    <t>archéologie ; architecture ; généalogie ; sculpture</t>
  </si>
  <si>
    <t>obélisque ; sculpture ; globe ; poisson (animal)</t>
  </si>
  <si>
    <t>MG-1679-11_174</t>
  </si>
  <si>
    <t>https://gallica.bnf.fr/ark:/12148/bpt6k6218372z/f186.item</t>
  </si>
  <si>
    <t>[Cadran tenu par l'Amour]*</t>
  </si>
  <si>
    <t>[Le Cadran]</t>
  </si>
  <si>
    <t xml:space="preserve">cadran ou horloge ; amours </t>
  </si>
  <si>
    <t>12,5 x 7 cm</t>
  </si>
  <si>
    <t>1679-11_350</t>
  </si>
  <si>
    <t>BnF, Ars, 8-H-26484(50)</t>
  </si>
  <si>
    <t>MG-1679-11_350</t>
  </si>
  <si>
    <t>https://gallica.bnf.fr/ark:/12148/bpt6k6218372z/f366.item</t>
  </si>
  <si>
    <t>Niobe Enigme</t>
  </si>
  <si>
    <t>[Énigme en figure : Niobé]*</t>
  </si>
  <si>
    <t>[L'Énigme en figure de Niobé]</t>
  </si>
  <si>
    <t>Niobé ; Apollon ; Niobides ; flèche</t>
  </si>
  <si>
    <t>1679-12_138</t>
  </si>
  <si>
    <t>https://gallica.bnf.fr/ark:/12148/bpt6k62222098/f146.item</t>
  </si>
  <si>
    <t>[Médaille représentant Guillaume I de Lamoignon]*</t>
  </si>
  <si>
    <t>[Le Portrait de feu M. le Premier Président]</t>
  </si>
  <si>
    <t xml:space="preserve">emblématique ; personnification des vices et des vertus </t>
  </si>
  <si>
    <t>Piété (personnification) ; cube ; cigogne</t>
  </si>
  <si>
    <t>4c5f59b7-16ea-48eb-a6af-6df2c4403d61</t>
  </si>
  <si>
    <t xml:space="preserve">lamoignon_guillaume_de_(1617-1677) ; </t>
  </si>
  <si>
    <t>12,6 x 6,5 cm</t>
  </si>
  <si>
    <t>D'après une médaille de Picart, Bernard (1673-1733) ; 84108 (d'après une médaille de). Sur l'avers de la médaille : "T. Bernard F".</t>
  </si>
  <si>
    <t>Guill. De. La. Moignon Senatus. Princeps. [Exergue :] T. Bernard F</t>
  </si>
  <si>
    <t>.Optimo. Parenti. Chr. Fr. F. Adv. Gener. [Exergue :] Pietas AN MD CLXXIX</t>
  </si>
  <si>
    <t>https://gallica.bnf.fr/ark:/12148/bpt6k62222098/f338.item</t>
  </si>
  <si>
    <t>[Médaille représentant Jacques Stuart, duc d'York, au revers la victoire remportée par ce prince sur la flotte hollandaise]*</t>
  </si>
  <si>
    <t>|La Médaille qui représente le duc d'Yorck]</t>
  </si>
  <si>
    <t>558 : PROVINCES UNIES ; 617 : ROYAUME DE GRANDE-BRETAGNE</t>
  </si>
  <si>
    <t>médaille ; armée navale ; mer ; drapeau ou étendard</t>
  </si>
  <si>
    <t>0cea0d9b-75fc-4bbe-af49-20a7188d4783</t>
  </si>
  <si>
    <t xml:space="preserve">jacques_ii_(1633-1701)_roi_dangleterre ; </t>
  </si>
  <si>
    <t>17,4 x 9,1 cm</t>
  </si>
  <si>
    <t>Jacobus. Dux. Ebor. Et. Albandum. Magn. Admiralius. Angliæ &amp;C</t>
  </si>
  <si>
    <t>Nec minor in terris [Exergue : ] 3 Junii 1663</t>
  </si>
  <si>
    <t>1679-12_352</t>
  </si>
  <si>
    <t>BnF, Ars, 8-H-26484(51)</t>
  </si>
  <si>
    <t>https://gallica.bnf.fr/ark:/12148/bpt6k62222098/f364.item</t>
  </si>
  <si>
    <t>Jason Enigme</t>
  </si>
  <si>
    <t>[Énigme en figure : Jason]*</t>
  </si>
  <si>
    <t xml:space="preserve">Jason ; épée ; bouclier ; taureau (animal) ; mouton ; </t>
  </si>
  <si>
    <t>13,3 x 8 cm</t>
  </si>
  <si>
    <t>1679-12e_203</t>
  </si>
  <si>
    <t>BnF, 8-LC2-34</t>
  </si>
  <si>
    <t>https://gallica.bnf.fr/ark:/12148/bpt6k6373215x/f212.item</t>
  </si>
  <si>
    <t>[Globe terrestre]*</t>
  </si>
  <si>
    <t>[La Sphère]</t>
  </si>
  <si>
    <t>225046 : AIRE ; 1191 : MAASTRICHT ; 2702 : YPRES ; 2098 : BESANÇON ; 830 : PUIGCERDÁ ; 275851 : CONDÉ ; 2718 : CAMBRAY ; 2723 : BOUCHAIN ; 2714 : SAINT-OMER ; 2733 : VALENCIENNES ; 1061 : FRIBOURG-EN-BRESGAU</t>
  </si>
  <si>
    <t>objets décoratifs et d'apparat ; géographie ; vie militaire</t>
  </si>
  <si>
    <t xml:space="preserve">globe terrestre ; forteresse ; soleil ; </t>
  </si>
  <si>
    <t>1679-12e_283</t>
  </si>
  <si>
    <t>https://gallica.bnf.fr/ark:/12148/bpt6k6373215x/f295.item</t>
  </si>
  <si>
    <t>[Médaille représentant Jean-Frédéric, duc de Brunswick et Lunebourg]*</t>
  </si>
  <si>
    <t>[La Médaille]</t>
  </si>
  <si>
    <t>1099 : BRUNSWICK ; 1531 : LUNEBOURG</t>
  </si>
  <si>
    <t>médaille ; mer ; palmier ; navire ; drapeau ou étendard</t>
  </si>
  <si>
    <t>4169ca09-54f2-4905-81a5-50f289d170d5</t>
  </si>
  <si>
    <t xml:space="preserve">brunswick-hanovre_jean-frederic_de_(1625-1679)_duc_de ; </t>
  </si>
  <si>
    <t>Joan: Frider: D. G. Dux Br. E. L</t>
  </si>
  <si>
    <t>Ex duris gloria</t>
  </si>
  <si>
    <t>1680-01a_023</t>
  </si>
  <si>
    <t>https://gallica.bnf.fr/ark:/12148/bpt6k6220794q/f50.item</t>
  </si>
  <si>
    <t>Jettons de l'année 1680, avec la Médaille de la Paix</t>
  </si>
  <si>
    <t>[Médaille gravée pour le roi à l'occasion de la Paix et jetons de l'année 1680]*</t>
  </si>
  <si>
    <t>[La Planche de la Médaille &amp; des Jettons]</t>
  </si>
  <si>
    <t>emblématique ; personnification ; héraldique ; mythologie gréco-romaine</t>
  </si>
  <si>
    <t xml:space="preserve">médaille ; jetons ; Victoire (personnification) ; soleil ; armoiries ; globe terrestre ; navire ; cube ; diamant ; cerf ; boussole ; cube ; temple de Janus ; olivier ; autel ; arc-en-ciel ; fleuve, rivière, ruisseau ; </t>
  </si>
  <si>
    <t>1480e2ab-f3d6-4915-a0c0-9a5b55fd56b6 ; b7bcfcac-abc2-476a-a595-115ad346fb68 ; 150609b0-395c-4f8f-9106-a04633980e65</t>
  </si>
  <si>
    <t>117a1436-fa1f-4534-bb64-44083147adff</t>
  </si>
  <si>
    <t xml:space="preserve">Vivonne, Louis-Victor de Rochechouart (1636-1688), maréchal-duc de ; louis_xiv_(1638-1715)_roi_de_france ; Vermandois, louis_de_bourbon_(1667-1683)_comte_de ; Marie-Thérèse (1638-1683), reine de France : </t>
  </si>
  <si>
    <t>jetons de l'année ; portraits en médaille</t>
  </si>
  <si>
    <t>SELMECI CASTIONI, Barbara, PASCHOUD, Adrien, « Le Mercure galant 
(1672-1710) : un jalon significatif sur la voie de l'encyclopédisme des 
Lumières », Recherches sur Diderot et sur l'Encyclopédie, n°51, 2016, 
mis en ligne le 25 novembre 2018. URL : 
http://journals.openedition.org/rde/5394 ; DOI : 
https://doi.org/10.4000/rde.5394</t>
  </si>
  <si>
    <t>MG-1680-01a_245</t>
  </si>
  <si>
    <t>https://gallica.bnf.fr/ark:/12148/bpt6k6220794q/f276.item</t>
  </si>
  <si>
    <t>[Les trois Piedestaux]</t>
  </si>
  <si>
    <t>1585 : TURIN</t>
  </si>
  <si>
    <t>décor éphémère ; sculpture</t>
  </si>
  <si>
    <t xml:space="preserve">piédestal ; amours ; </t>
  </si>
  <si>
    <t>7311ed00-e1e3-43f4-a508-f0e96c8a60a2</t>
  </si>
  <si>
    <r>
      <rPr>
        <b/>
        <u/>
        <sz val="10"/>
        <color rgb="FF1155CC"/>
        <rFont val="Arial"/>
        <family val="2"/>
      </rPr>
      <t>Neurone, César (fl. 1680)</t>
    </r>
    <r>
      <rPr>
        <b/>
        <sz val="10"/>
        <rFont val="Arial"/>
        <family val="2"/>
      </rPr>
      <t xml:space="preserve"> ; 84126</t>
    </r>
  </si>
  <si>
    <t>Sur l'estampe : "Cesar. Neurone fec."</t>
  </si>
  <si>
    <t>1680-01a_296</t>
  </si>
  <si>
    <t>BnF, Ars, 8-H-26484(54)</t>
  </si>
  <si>
    <t>https://gallica.bnf.fr/ark:/12148/bpt6k6220794q/f326.item</t>
  </si>
  <si>
    <t>Phaeton Enigme</t>
  </si>
  <si>
    <t>[Énigme en figure : Phaëton suppliant]*</t>
  </si>
  <si>
    <t>Phaéton ; soleil ; lyre (antique) ; Soleil (personnification) ; palais</t>
  </si>
  <si>
    <t>1680-01b_071</t>
  </si>
  <si>
    <t>https://gallica.bnf.fr/ark:/12148/bpt6k6215648d/f78.item</t>
  </si>
  <si>
    <t>[Plans des premier et deuxième services et du dessert au mariage du prince de Conti]*</t>
  </si>
  <si>
    <t>[Les deux Plans de la Table du Festin Royal]</t>
  </si>
  <si>
    <t>9f7e7349-410f-40bf-bf7d-bbabd30e7c8f</t>
  </si>
  <si>
    <t>conti_françois-louis_de_bourbon_(1664-1709)_prince_de ;</t>
  </si>
  <si>
    <t>https://gallica.bnf.fr/ark:/12148/bpt6k6215648d/f215.item</t>
  </si>
  <si>
    <t>La Entrada del buen Retiro en Madrid</t>
  </si>
  <si>
    <t>[Entrée du palais de Buen-Retiro]*</t>
  </si>
  <si>
    <t>[Le Plan de l'Entrée du Buen-Retiro</t>
  </si>
  <si>
    <t>802 : MADRID, Palais du Buen Retiro</t>
  </si>
  <si>
    <t>architecture ; sculpture ; topographie</t>
  </si>
  <si>
    <t>place ; palais ; statue ; cheval ; jardin ; fontaine</t>
  </si>
  <si>
    <t>vues de bâtiments et de jardins</t>
  </si>
  <si>
    <t>9f7e3294-4a5c-4896-8b95-9a63c33d15b5</t>
  </si>
  <si>
    <r>
      <rPr>
        <b/>
        <u/>
        <sz val="10"/>
        <color rgb="FF1155CC"/>
        <rFont val="Arial"/>
        <family val="2"/>
      </rPr>
      <t xml:space="preserve">Meunier, Louis (fl. 1630-1680) </t>
    </r>
    <r>
      <rPr>
        <b/>
        <sz val="10"/>
        <rFont val="Arial"/>
        <family val="2"/>
      </rPr>
      <t>; 83938</t>
    </r>
  </si>
  <si>
    <t>http://bdh.bne.es/bnesearch/CompleteSearch.do;jsessionid=714475CBE24DCFEA66F0E92015C8E472?showYearItems=&amp;field=todos&amp;advanced=false&amp;exact=on&amp;textH=&amp;completeText=&amp;text=meunier%2c+louis&amp;languageView=fr&amp;pageSize=1&amp;pageSizeAbrv=30&amp;pageNumber=12 ; https://www.parismuseescollections.paris.fr/fr/petit-palais/oeuvres/vues-d-espagne-vues-de-tolede-palais-royal-de-tolede-dutuit-page-12-robert#infos-principales</t>
  </si>
  <si>
    <r>
      <rPr>
        <b/>
        <sz val="10"/>
        <rFont val="Arial"/>
        <family val="2"/>
      </rPr>
      <t xml:space="preserve">GARCIA SANCHEZ, María Teresa, MARTINEZ DIAZ, Ángel, "Louis Meunier: Engraving and Heritage in the Decline of the Spanish Golden Century", in AGUSTIN-HERNANDEZ, Luis, et al., Graphical Heritage. EGA 2020, Springer, Cham, 2020, p. 166-177. https://doi.org/10.1007/978-3-030-47983-1_15 ROBERT-DUMESNIL, Alexandre-Pierre-François, Le peintre-graveur français, ou Catalogue raisonné des estampes gravées par les peintres et les dessinateurs de l'école française, Paris, G. Warée, t. V, p. 247-287. </t>
    </r>
    <r>
      <rPr>
        <b/>
        <u/>
        <sz val="10"/>
        <color rgb="FF1155CC"/>
        <rFont val="Arial"/>
        <family val="2"/>
      </rPr>
      <t>https://gallica.bnf.fr/ark:/12148/bpt6k6559580b/f265.item</t>
    </r>
  </si>
  <si>
    <t>1680-02_124</t>
  </si>
  <si>
    <t>MG-1680-02_124</t>
  </si>
  <si>
    <t>https://gallica.bnf.fr/ark:/12148/bpt6k6220151w/f136.item</t>
  </si>
  <si>
    <t>[Scène de l'opéra: Le Amazzoni nelle isole fortunate de Carlo Pallavicino]*</t>
  </si>
  <si>
    <t>[La Figure de l'Opéra des Amazones]</t>
  </si>
  <si>
    <t>1775 : Venise</t>
  </si>
  <si>
    <t>décor de spectacle ; mythologie gréco-romaine</t>
  </si>
  <si>
    <r>
      <rPr>
        <b/>
        <sz val="10"/>
        <color rgb="FF000000"/>
        <rFont val="Comic Sans MS"/>
        <family val="4"/>
      </rPr>
      <t>cheval ;</t>
    </r>
    <r>
      <rPr>
        <b/>
        <sz val="10"/>
        <color rgb="FFFF00FF"/>
        <rFont val="Comic Sans MS"/>
        <family val="4"/>
      </rPr>
      <t xml:space="preserve"> </t>
    </r>
    <r>
      <rPr>
        <b/>
        <sz val="10"/>
        <color rgb="FF000000"/>
        <rFont val="Comic Sans MS"/>
        <family val="4"/>
      </rPr>
      <t>opéra ; Amazones</t>
    </r>
  </si>
  <si>
    <t>e3947d67-f817-4fb5-abf3-ebd8154d11a6</t>
  </si>
  <si>
    <t>pallavicino_carlo_(1630_ca-1688) ;</t>
  </si>
  <si>
    <t>1680-02_326</t>
  </si>
  <si>
    <t>https://gallica.bnf.fr/ark:/12148/bpt6k6220151w/f338.item</t>
  </si>
  <si>
    <t>Le Chaos Enigme</t>
  </si>
  <si>
    <t>[Énigme en figure : le Chaos]*</t>
  </si>
  <si>
    <t xml:space="preserve">Chaos ; </t>
  </si>
  <si>
    <t>1680-02_347</t>
  </si>
  <si>
    <t>MG-1682-02_295</t>
  </si>
  <si>
    <t>Suite de l'article qui évoque le portrait.</t>
  </si>
  <si>
    <t>https://gallica.bnf.fr/ark:/12148/bpt6k6220151w/f359.item</t>
  </si>
  <si>
    <t>[Portrait de Catherine Voisin|*</t>
  </si>
  <si>
    <t>[Le Portrait de la Voisin]</t>
  </si>
  <si>
    <t>allégorie et rhétorique ; affaires criminelles ;</t>
  </si>
  <si>
    <t>monstre</t>
  </si>
  <si>
    <t>0ce8d6b4-8f7b-452f-88e4-950f22c89488</t>
  </si>
  <si>
    <t xml:space="preserve">La Voisin (1640? -1680) ; 83866 ; </t>
  </si>
  <si>
    <t>portrait ; compositions allégoriques et emblématiques</t>
  </si>
  <si>
    <t>5cbb52dc-c979-473b-b7fc-88b39da51d7d</t>
  </si>
  <si>
    <r>
      <rPr>
        <b/>
        <u/>
        <sz val="10"/>
        <color rgb="FF1155CC"/>
        <rFont val="Arial"/>
        <family val="2"/>
      </rPr>
      <t>Coypel, Antoine (1661-1722)</t>
    </r>
    <r>
      <rPr>
        <b/>
        <sz val="10"/>
        <color rgb="FF000000"/>
        <rFont val="Arial"/>
        <family val="2"/>
      </rPr>
      <t xml:space="preserve"> ; 83868</t>
    </r>
  </si>
  <si>
    <r>
      <rPr>
        <b/>
        <u/>
        <sz val="10"/>
        <color rgb="FF1155CC"/>
        <rFont val="Arial"/>
        <family val="2"/>
      </rPr>
      <t>Coypel, Antoine (1661-1722)</t>
    </r>
    <r>
      <rPr>
        <b/>
        <sz val="10"/>
        <color rgb="FF000000"/>
        <rFont val="Arial"/>
        <family val="2"/>
      </rPr>
      <t xml:space="preserve"> ; 83868</t>
    </r>
  </si>
  <si>
    <r>
      <rPr>
        <b/>
        <sz val="10"/>
        <color rgb="FF000000"/>
        <rFont val="Arial"/>
        <family val="2"/>
      </rPr>
      <t xml:space="preserve">voir aussi notice sur la gravure: REMI Mathis, SELBACH Vanessa, MARCHESANO Louis, FUHRING Peter (dir.), </t>
    </r>
    <r>
      <rPr>
        <b/>
        <i/>
        <sz val="10"/>
        <color rgb="FF000000"/>
        <rFont val="Arial"/>
        <family val="2"/>
      </rPr>
      <t>Images du Grand-Siècle, l'estampe française au temps de Louis XIV (1660-1715)</t>
    </r>
    <r>
      <rPr>
        <b/>
        <sz val="10"/>
        <color rgb="FF000000"/>
        <rFont val="Arial"/>
        <family val="2"/>
      </rPr>
      <t>, Paris, Bibliothèque Nationale de France, 2015, p. 91-92.</t>
    </r>
  </si>
  <si>
    <t xml:space="preserve">1680-03a_157 </t>
  </si>
  <si>
    <t>Numéro pas disponible dans Gallica au 20 ; 05 ; 21</t>
  </si>
  <si>
    <t>Nouveaux jettons</t>
  </si>
  <si>
    <t>[Jetons de l'année 1680]*</t>
  </si>
  <si>
    <t>[La Planche des nouveaux Jettons]</t>
  </si>
  <si>
    <t>emblématique ; héraldique</t>
  </si>
  <si>
    <t>jetons ; pièce d'artillerie ; armoiries ; olivier ; Vents ; soleil ; navire ; abeille ; main</t>
  </si>
  <si>
    <t>jetons de l'année</t>
  </si>
  <si>
    <t xml:space="preserve">1680-03a_320 </t>
  </si>
  <si>
    <t>F-Pm, 8° 33890-77</t>
  </si>
  <si>
    <t>[Médaille représentant Louis, Dauphin de France]*</t>
  </si>
  <si>
    <r>
      <rPr>
        <b/>
        <sz val="10"/>
        <color theme="1"/>
        <rFont val="Roboto"/>
      </rPr>
      <t xml:space="preserve">[La Médaille qui représente </t>
    </r>
    <r>
      <rPr>
        <b/>
        <sz val="10"/>
        <color rgb="FF00000A"/>
        <rFont val="Roboto"/>
      </rPr>
      <t xml:space="preserve">Mons. </t>
    </r>
    <r>
      <rPr>
        <b/>
        <sz val="10"/>
        <color theme="1"/>
        <rFont val="Roboto"/>
      </rPr>
      <t>le Dauphin]</t>
    </r>
  </si>
  <si>
    <t xml:space="preserve">médaille ; soleil ; mer ; montagne ; étoile ; </t>
  </si>
  <si>
    <t xml:space="preserve">louis_dauphin_de_france_(1661-1711) ; </t>
  </si>
  <si>
    <t>16,5 x 7,7 cm</t>
  </si>
  <si>
    <t>D'après une médaille de François Chéron (sur l'aver : "F. Cheron").</t>
  </si>
  <si>
    <t>Ludovicus.Delphinus.Ludovici. Magni. Fillus. [Exergue :] F. Chéron</t>
  </si>
  <si>
    <t>Coram. Micat. Unus. [Exergue :] 1678.</t>
  </si>
  <si>
    <t>1680-03a_336</t>
  </si>
  <si>
    <t>F-Pm 8° 33890-77</t>
  </si>
  <si>
    <t>Pyrame et Thisbé Enigme</t>
  </si>
  <si>
    <t>[Énigme en figure : Pyrame et Thisbé]*</t>
  </si>
  <si>
    <t xml:space="preserve">Pyrame et Thisbé ; épée ; </t>
  </si>
  <si>
    <t>7,6 x 12,2 cm</t>
  </si>
  <si>
    <t>MG-1680-03b_024</t>
  </si>
  <si>
    <t>https://gallica.bnf.fr/ark:/12148/bpt6k6216337w/f46.item</t>
  </si>
  <si>
    <t>Généalogie de Madame la Dauphine</t>
  </si>
  <si>
    <t>[Généalogie de la dauphine]*</t>
  </si>
  <si>
    <t>[La Genealogie]</t>
  </si>
  <si>
    <t>écriture</t>
  </si>
  <si>
    <t>87a75f10-1b56-4d8d-9214-9670e911ddbd</t>
  </si>
  <si>
    <t>Marie-Anne-Christine-Victoire de Bavière (1660-1690), dauphine</t>
  </si>
  <si>
    <t>table généalogique</t>
  </si>
  <si>
    <t>MG-1680-03b_088</t>
  </si>
  <si>
    <t>https://gallica.bnf.fr/ark:/12148/bpt6k6216337w/f205.item</t>
  </si>
  <si>
    <t>[Plan de table pour le mariage du dauphin et de Marie-Anne de Bavière]*</t>
  </si>
  <si>
    <t>[La Table]</t>
  </si>
  <si>
    <t>2022 : CHÂLONS</t>
  </si>
  <si>
    <t>5c9edf3a-330e-4c4f-8e61-c75a75e1b747 ; 87a75f10-1b56-4d8d-9214-9670e911ddbd</t>
  </si>
  <si>
    <t>louis_dauphin_de_france_(1661-1711) ; marie-anne-christine-victoire_de_baviere_(1660-1690)_dauphine</t>
  </si>
  <si>
    <t>12,6 x 8 cm</t>
  </si>
  <si>
    <t>Article transcrit MG-1680-03b_230</t>
  </si>
  <si>
    <t>https://gallica.bnf.fr/ark:/12148/bpt6k6216337w/f244.item</t>
  </si>
  <si>
    <t>[Représentation allégorique d'après un tableau sur le mariage du dauphin]*</t>
  </si>
  <si>
    <t>[La Planche des Figures]</t>
  </si>
  <si>
    <t>emblématique ; personnification des vices et des vertus ; héraldique ; mythologie gréco-romaine ; personnification des villes, des États et des fleuves ; personnification</t>
  </si>
  <si>
    <t>temple ; soleil ; armoiries ; Renommée (personnification) ; Victoire (personnification) ; lion (animal) ; pyramide ; amours ; corne d'abondance ; globe terrestre ; bouclier ; massue ; rameau d'olivier ; France (personnification) ; trophée ; Bavière (personnification) ; Hymen (personnification) ; Paix (personnification) ; Valeur (personnification) ; lion (animal) ; palme ;</t>
  </si>
  <si>
    <r>
      <rPr>
        <b/>
        <u/>
        <sz val="10"/>
        <color rgb="FF1155CC"/>
        <rFont val="Arial"/>
        <family val="2"/>
      </rPr>
      <t>Coypel, Antoine (1661-1722)</t>
    </r>
    <r>
      <rPr>
        <b/>
        <sz val="10"/>
        <rFont val="Arial"/>
        <family val="2"/>
      </rPr>
      <t xml:space="preserve"> ; 83868</t>
    </r>
  </si>
  <si>
    <r>
      <rPr>
        <b/>
        <u/>
        <sz val="10"/>
        <color rgb="FF1155CC"/>
        <rFont val="Arial"/>
        <family val="2"/>
      </rPr>
      <t>Coypel, Antoine (1661-1722)</t>
    </r>
    <r>
      <rPr>
        <b/>
        <sz val="10"/>
        <color rgb="FF000000"/>
        <rFont val="Arial"/>
        <family val="2"/>
      </rPr>
      <t xml:space="preserve"> ; 83868</t>
    </r>
  </si>
  <si>
    <t>Sur l'estampe : "Coypel Junior invenit et fecit".</t>
  </si>
  <si>
    <t>1680-03e_171</t>
  </si>
  <si>
    <t>https://gallica.bnf.fr/ark:/12148/bpt6k6371918z/f178.item</t>
  </si>
  <si>
    <t>La Lettre en Chiffre]</t>
  </si>
  <si>
    <t>1680-03e_365</t>
  </si>
  <si>
    <t>https://gallica.bnf.fr/ark:/12148/bpt6k6371918z/f377.item</t>
  </si>
  <si>
    <t>Armoiries d'Amour</t>
  </si>
  <si>
    <t>[Armoiries fictives de l'Amour]*</t>
  </si>
  <si>
    <t>[Les Armoiries de l'Amour]</t>
  </si>
  <si>
    <t>allégorie amoureuse ; héraldique</t>
  </si>
  <si>
    <t>armoiries ; coq ; lion (animal) ; cheval ailé ; aigle ; ancre ; flèche ; cœur ; phénix ; sirène ; soleil ; globe terrestre</t>
  </si>
  <si>
    <t>1680-04_182</t>
  </si>
  <si>
    <t>MG-1680-04_254</t>
  </si>
  <si>
    <t xml:space="preserve">[Collation donnée par le maréchal, duc de Vivonne]* </t>
  </si>
  <si>
    <t>[La Collation]</t>
  </si>
  <si>
    <t>2661 : MARSEILLE, Château d'If</t>
  </si>
  <si>
    <t xml:space="preserve">table de banquet ; </t>
  </si>
  <si>
    <t>vivonne_louis-victor_de_rochechouart_(1636-1688)_marechal-duc_de</t>
  </si>
  <si>
    <t>1680-04_304</t>
  </si>
  <si>
    <t>[Médaille représentant Louis XIV, frappée à l'occasion de la victoire de Tournai et de Courtrai]*</t>
  </si>
  <si>
    <t>1084 : Tournai ; 297471 : Courtrai</t>
  </si>
  <si>
    <t>emblématique ; personnification ; personnification des villes, des États et des fleuves ; mythologie gréco-romaine</t>
  </si>
  <si>
    <t>médaille ; Victoire (personnification) ; Tournai (personnification) ; Courtrai (personnification) ; L'Escaut (personnification) ; Lys (personnification) ; clef</t>
  </si>
  <si>
    <t xml:space="preserve">louis_xiv_(1638-1715)_roi_de_france ; </t>
  </si>
  <si>
    <t xml:space="preserve"> </t>
  </si>
  <si>
    <r>
      <rPr>
        <b/>
        <sz val="10"/>
        <color theme="1"/>
        <rFont val="Arial"/>
        <family val="2"/>
      </rPr>
      <t xml:space="preserve">Sur l'avers de la médaille : </t>
    </r>
    <r>
      <rPr>
        <b/>
        <sz val="10"/>
        <color theme="1"/>
        <rFont val="Arial"/>
        <family val="2"/>
      </rPr>
      <t>monogramme "R. F</t>
    </r>
    <r>
      <rPr>
        <b/>
        <sz val="10"/>
        <color theme="1"/>
        <rFont val="Arial"/>
        <family val="2"/>
      </rPr>
      <t xml:space="preserve">." Médaille de 1667. </t>
    </r>
  </si>
  <si>
    <t>Ludovicus. XIV. D. G. Fran. Et. Nav. Rex. [Exergue :] R. F.</t>
  </si>
  <si>
    <t>Civitates. Tornacencis. Et. Curtracencis. [Exergue :] M. D. C. LXVII. Scaldis</t>
  </si>
  <si>
    <t>https: ; / books.google.fr ; books?id=81s9AQAAIAAJ&amp;pg=PA27&amp;lpg=PA27&amp;dq=civitates+Tornacensis+et+curtracensis&amp;source=bl&amp;ots=hTtkFhzaH_&amp;sig=ACfU3U223bKsInkjVTRGCaHDeq5dsgy3TQ&amp;hl=fr&amp;sa=X&amp;ved=2ahUKEwjr9Zj8xJTvAhULw1kKHQM8BHYQ6AEwAXoECAMQAw#v=onepage&amp;q=civitates%20Tornacensis%20et%20curtracensis&amp;f=false Médaille également gravée et publiée dans Histoire du règne de Louis-Le-Grand par les médailles, emblèmes, devises, jetons, inscriptions, armoiries et autres monuments publics de Ménestrier, gravée par Jean-Baptiste Nolin et Nicolas Guérard d'après des dessins de Pierre-Paul Sevain.</t>
  </si>
  <si>
    <t>1680-04_322</t>
  </si>
  <si>
    <t>BnF, Ars, 8-H-26484(60)</t>
  </si>
  <si>
    <t>Amphyon Enigme</t>
  </si>
  <si>
    <t>[Énigme en figure : Amphyon]*</t>
  </si>
  <si>
    <t>1501 : THÈBES</t>
  </si>
  <si>
    <t>énigme en figure ; musique ; mythologie gréco-romaine</t>
  </si>
  <si>
    <t>Amphyon ; statue ; harpe ; mur de Thèbes</t>
  </si>
  <si>
    <t>MG-1680-05_081</t>
  </si>
  <si>
    <t>https://gallica.bnf.fr/ark:/12148/bpt6k6544125x/f99.item</t>
  </si>
  <si>
    <t>[Le Plan de la Table octogone]</t>
  </si>
  <si>
    <t xml:space="preserve">227 : VERSAILLES, Château de </t>
  </si>
  <si>
    <t>https://gallica.bnf.fr/ark:/12148 ; bpt6k6544125x</t>
  </si>
  <si>
    <t>1680-05_226</t>
  </si>
  <si>
    <t>https://gallica.bnf.fr/ark:/12148/bpt6k6544125x/f237.item</t>
  </si>
  <si>
    <t>[Décor funèbre dressé dans l'église des Carmélites du Faubourg Saint-Jacques pour la mort de la Duchesse de Longueville]*</t>
  </si>
  <si>
    <t>[La Tenture de deüil]</t>
  </si>
  <si>
    <t>277941 : PARIS, Grand couvent des Carmes, église</t>
  </si>
  <si>
    <t xml:space="preserve">héraldique ; objets décoratifs et d'apparat </t>
  </si>
  <si>
    <t xml:space="preserve">armoiries ; tenture ; </t>
  </si>
  <si>
    <t>018b71b2-b6d8-4390-b733-e80f43abe6d3</t>
  </si>
  <si>
    <t>conde_anne-genevieve_de_bourbon_(1619-1679)_duchesse_de ;</t>
  </si>
  <si>
    <t>MG-1680-05_295</t>
  </si>
  <si>
    <t>https://gallica.bnf.fr/ark:/12148/bpt6k6544125x/f314.item</t>
  </si>
  <si>
    <t>[La Table longue]</t>
  </si>
  <si>
    <t>184 : SAINT-CLOUD</t>
  </si>
  <si>
    <t>1680-06_173</t>
  </si>
  <si>
    <t>https://gallica.bnf.fr/ark:/12148/bpt6k62250906/f183.item</t>
  </si>
  <si>
    <t>[Médaille des chevaliers de l'ordre de l'annonciade]*</t>
  </si>
  <si>
    <t>[La Planche où est marquée l'Annonciade]</t>
  </si>
  <si>
    <t>Ordre suprême de la Très Sainte Annonciade</t>
  </si>
  <si>
    <t>emblématique ; Annonciation</t>
  </si>
  <si>
    <t>médaille ; colombe ; rameau d'olivier</t>
  </si>
  <si>
    <t>1680-06_290</t>
  </si>
  <si>
    <t>https://gallica.bnf.fr/ark:/12148/bpt6k62250906/f301.item</t>
  </si>
  <si>
    <t>Palais de Madrid ; Vista de la entrada del Palacio del Rei de Espana en su Corte de Madrid</t>
  </si>
  <si>
    <t>[Palais royal de Madrid]*</t>
  </si>
  <si>
    <t>[La Veuë du Palais de Madrid]</t>
  </si>
  <si>
    <t>795 : MADRID, Alcázar royal</t>
  </si>
  <si>
    <t>architecture ; topographie</t>
  </si>
  <si>
    <t>place ; palais ; cheval</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</si>
  <si>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</si>
  <si>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</si>
  <si>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https://gallica.bnf.fr/ark:/12148/bpt6k1518708v/f5.item</t>
  </si>
  <si>
    <t>GARCIA SANCHEZ, María Teresa, MARTINEZ DIAZ, Ángel, "Louis Meunier: Engraving and Heritage in the Decline of the Spanish Golden Century", in AGUSTIN-HERNANDEZ, Luis, et al., Graphical Heritage. EGA 2020, Springer, Cham, 2020, p. 166-177. https://doi.org/10.1007/978-3-030-47983-1_15 ROBERT-DUMESNIL, Alexandre-Pierre-François, Le peintre-graveur français, ou Catalogue raisonné des estampes gravées par les peintres et les dessinateurs de l'école française, Paris, G. Warée, t. V, p. 247-287. https://gallica.bnf.fr/ark:/12148/bpt6k6559580b/f265.item</t>
  </si>
  <si>
    <t>1680-06_317</t>
  </si>
  <si>
    <t>BnF, Ars, 8-H-26484(63)</t>
  </si>
  <si>
    <t>https://gallica.bnf.fr/ark:/12148/bpt6k62250906/f331.item</t>
  </si>
  <si>
    <t>Bachus Enigme</t>
  </si>
  <si>
    <t>[Énigme en figure : Bacchus]*</t>
  </si>
  <si>
    <t>1680-06e_160</t>
  </si>
  <si>
    <t xml:space="preserve">BnF, 8-LC2-34 </t>
  </si>
  <si>
    <t>https://gallica.bnf.fr/ark:/12148/bpt6k6373043j/f166.item</t>
  </si>
  <si>
    <t>Palais de Madrid ; El Palacio de Madrid por la porte que mura e la Casa del Campo</t>
  </si>
  <si>
    <t>[Vue du Palacio Real du côté du parc]*</t>
  </si>
  <si>
    <t>[La Veuë du costé du Parc du Palais de Madrid]</t>
  </si>
  <si>
    <t>palais ; cheval</t>
  </si>
  <si>
    <t>1680-06e_340</t>
  </si>
  <si>
    <t>https://gallica.bnf.fr/ark:/12148/bpt6k6373043j/f346.item</t>
  </si>
  <si>
    <t xml:space="preserve">Palais de Madrid ; Veuë du dedans de la Cour ; Vista del primer patio del Palacio de Madrid </t>
  </si>
  <si>
    <t>[Vue du Palacio Real du côté de la cour]*</t>
  </si>
  <si>
    <t>[La Veuë du dedans de la Court du Palais de Madrid]</t>
  </si>
  <si>
    <t xml:space="preserve">cour ; palais ; </t>
  </si>
  <si>
    <t>1680-07_081</t>
  </si>
  <si>
    <t>[Médaille représentant Louis XIV]*</t>
  </si>
  <si>
    <t>médaille</t>
  </si>
  <si>
    <t>16 x 8,5 cm</t>
  </si>
  <si>
    <t>D'après une médaille de Charles-Jean-François Chéron (1635-1698) ; 84028. Sur l'avers de la médaille : "F. Cheron".</t>
  </si>
  <si>
    <t>.Ludovicus. Magnus. Rex. [Exergue :] F. Cheron</t>
  </si>
  <si>
    <t>https://books.google.fr/books?id=9ZxMAAAAcAAJ&amp;pg=PA181&amp;lpg=PA181&amp;dq=Ludovicus+Magnus+Rex.++ch%C3%A9ron&amp;source=bl&amp;ots=01oeUIg8MZ&amp;sig=ACfU3U1XQ5qH0LWJVWqs7Cfbo5F0eRpxgA&amp;hl=fr&amp;sa=X&amp;ved=2ahUKEwjasYqs5tn2AhUESxoKHWEjC7UQ6AF6BAghEAM#v=onepage&amp;q=Ludovicus%20Magnus%20Rex.%20%20ch%C3%A9ron&amp;f=false</t>
  </si>
  <si>
    <t>1680-07_250</t>
  </si>
  <si>
    <t>MG-1680-07_250</t>
  </si>
  <si>
    <t xml:space="preserve">La grande Place du Marché de Madrid ; Plaza Major de Madrid </t>
  </si>
  <si>
    <t>[Vue de la Plaza Major de Madrid]*</t>
  </si>
  <si>
    <t>[La grande Place de Madrid]</t>
  </si>
  <si>
    <t>804 : MADRID, Plaza Mayor</t>
  </si>
  <si>
    <t xml:space="preserve">place ; palais ; cheval ; </t>
  </si>
  <si>
    <t>12,8 x 25 cm</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</si>
  <si>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</si>
  <si>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</si>
  <si>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1680-07_313</t>
  </si>
  <si>
    <t>BnF, Ars, 8-H-26484(64)</t>
  </si>
  <si>
    <t>Bellérophon Enigme</t>
  </si>
  <si>
    <t>[Énigme en figure : Bellérophon]*</t>
  </si>
  <si>
    <t>Bellérophon ; Pégase ; chimère ; combat mythologique</t>
  </si>
  <si>
    <t>1680-08_142</t>
  </si>
  <si>
    <t xml:space="preserve">Vista de la Carzel de Corte de Madrid </t>
  </si>
  <si>
    <t>[Vue de la Carcel de Corte de Madrid]*</t>
  </si>
  <si>
    <t>[La Veuë de la Prison de Madrid, au bas de laquelle il y a Vista de la Carzel de Madrid</t>
  </si>
  <si>
    <t>296135 : MADRID, Cárcel de Corte</t>
  </si>
  <si>
    <t>place ; prison ; fontaine ; cheval</t>
  </si>
  <si>
    <t xml:space="preserve">vues de bâtiments et de jardins ; </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</si>
  <si>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</si>
  <si>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</si>
  <si>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1680-08_240</t>
  </si>
  <si>
    <t>Vista de la Fuente y de la Puerta del Sol y su Plaza</t>
  </si>
  <si>
    <t>[Vue de la fontaine de la Puerta del Sol et de sa place]*</t>
  </si>
  <si>
    <t>[La Veuë de la Place du Soleil à Madrid, au bas de laquelle il y a Vista de la Fuente i de la Puerta del Sol, y su Plaza]</t>
  </si>
  <si>
    <t xml:space="preserve">295633 : MADRID, Puerta del Sol </t>
  </si>
  <si>
    <t>place ; palais ; fontaine</t>
  </si>
  <si>
    <r>
      <rPr>
        <b/>
        <u/>
        <sz val="10"/>
        <color rgb="FF1155CC"/>
        <rFont val="Arial"/>
        <family val="2"/>
      </rPr>
      <t>Meunier, Louis (fl. 1630-1680)</t>
    </r>
    <r>
      <rPr>
        <b/>
        <sz val="10"/>
        <rFont val="Arial"/>
        <family val="2"/>
      </rPr>
      <t xml:space="preserve"> ; 83938 (d'après une estampe de)</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</si>
  <si>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</si>
  <si>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https://www.photo.rmn.fr/archive/17-547718-2C6NU0AAHO80M.html</t>
  </si>
  <si>
    <t>1680-08_332</t>
  </si>
  <si>
    <t>Prométhée Enigme</t>
  </si>
  <si>
    <t>[Énigme en figure : Prométhée]*</t>
  </si>
  <si>
    <t>Prométhée ; statue</t>
  </si>
  <si>
    <t>1680-09a_261</t>
  </si>
  <si>
    <t>https://gallica.bnf.fr/ark:/12148/bpt6k62986385/f274.item</t>
  </si>
  <si>
    <t>[Médaille représentant Jacques II Stuart, roi d'Angleterre]*</t>
  </si>
  <si>
    <t>[La Médaille qui représente le Roy d'Angleterre]</t>
  </si>
  <si>
    <t>617 : ROYAUME DE GRANDE-BRETAGNE</t>
  </si>
  <si>
    <t>emblématique ; personnification des vices et des vertus</t>
  </si>
  <si>
    <t>médaille ; mer ; Arts libéraux (personnification) ; Vertu (personnification) ; caducée ; navire ; Vents ; drapeau ou étendard ; palme</t>
  </si>
  <si>
    <t>jacques_ii_(1633-1701)_roi_dangleterre ;</t>
  </si>
  <si>
    <t>Carolus. Secondus. D. G. Mag. Bri. Fran. Et. Hib. Rex.</t>
  </si>
  <si>
    <t>Institutor augustus. 1673</t>
  </si>
  <si>
    <t>1680-09a_316</t>
  </si>
  <si>
    <t>https://gallica.bnf.fr/ark:/12148/bpt6k62986385/f332.item</t>
  </si>
  <si>
    <t>Europe, Enigme</t>
  </si>
  <si>
    <t>[Énigme en figure : l'enlèvement d'Europe]*</t>
  </si>
  <si>
    <t>[L'Enigme]</t>
  </si>
  <si>
    <t>Europe ; taureau (animal)</t>
  </si>
  <si>
    <t>1680-09b_165</t>
  </si>
  <si>
    <t>https://gallica.bnf.fr/ark:/12148/bpt6k62219294/f172.item</t>
  </si>
  <si>
    <t>[Feu d'artifice à Lille avec un décor représentant une gigantomachie et une montagne au centre]*</t>
  </si>
  <si>
    <t>[La Figure qui représente une Montagne]</t>
  </si>
  <si>
    <t>2699 : Lille</t>
  </si>
  <si>
    <t xml:space="preserve">décor éphémère ; mythologie gréco-romaine ; sculpture ; architecture ; emblématique ; </t>
  </si>
  <si>
    <t>1680-09b_215</t>
  </si>
  <si>
    <t>https://gallica.bnf.fr/ark:/12148/bpt6k62219294/f223.item</t>
  </si>
  <si>
    <t>Herculi christianissimo</t>
  </si>
  <si>
    <t>[Feu d'artifice à Valenciennes : Hercule soutenant le ciel]*</t>
  </si>
  <si>
    <t>[La Figure qui représente un Hercule]</t>
  </si>
  <si>
    <t>2733 : Valenciennes</t>
  </si>
  <si>
    <t>décor éphémère ; emblèmes et devises ; mythologie gréco-romaine ; architecture</t>
  </si>
  <si>
    <t>Hercule ; massue ; zodiaque ; statue ; piédestal ; bas-relief ; hydre de Lerne ; sanglier d'Érymanthe ; Cerbère ; lion de Némée ; globe ; lion (zodiaque) ; lion (animal) ; gémeaux ; scorpion (zodiaque) ; capricorne</t>
  </si>
  <si>
    <t>Sur le piédestal, "P. D. M."</t>
  </si>
  <si>
    <t xml:space="preserve">1680-09e_195 </t>
  </si>
  <si>
    <t>BnF, 8-H-26484 (65)</t>
  </si>
  <si>
    <t>https://gallica.bnf.fr/ark:/12148/bpt6k6372016b/f203.item</t>
  </si>
  <si>
    <t>Vista de la plazuela de San Domingo, y de la fuente en Madrid</t>
  </si>
  <si>
    <t>[Vue de la Plaza de Santo Domingo et de ses fontaines]*</t>
  </si>
  <si>
    <t>[La Figure où est écrit, Vista del Plazuela de San Domingo, y des Fuente en Madrid]</t>
  </si>
  <si>
    <t xml:space="preserve">295595 : MADRID, Plaza Santo Domingo </t>
  </si>
  <si>
    <t>topographie ; architecture ; sculpture</t>
  </si>
  <si>
    <t>place ; palais ; fontaine ; cheval ; statue</t>
  </si>
  <si>
    <t>13 x 24,8 cm</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</si>
  <si>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</si>
  <si>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</si>
  <si>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r>
      <rPr>
        <b/>
        <sz val="10"/>
        <rFont val="Arial"/>
        <family val="2"/>
      </rPr>
      <t xml:space="preserve">GARCIA SANCHEZ, María Teresa, MARTINEZ DIAZ, Ángel, "Louis Meunier: Engraving and Heritage in the Decline of the Spanish Golden Century", in AGUSTIN-HERNANDEZ, Luis, et al., Graphical Heritage. EGA 2020, Springer, Cham, 2020, p. 166-177. https://doi.org/10.1007/978-3-030-47983-1_15 ROBERT-DUMESNIL, Alexandre-Pierre-François, Le peintre-graveur français, ou Catalogue raisonné des estampes gravées par les peintres et les dessinateurs de l'école française, Paris, G. Warée, t. V, p. 247-287. </t>
    </r>
    <r>
      <rPr>
        <b/>
        <u/>
        <sz val="10"/>
        <color rgb="FF1155CC"/>
        <rFont val="Arial"/>
        <family val="2"/>
      </rPr>
      <t>https://gallica.bnf.fr/ark:/12148/bpt6k6559580b/f265.item</t>
    </r>
  </si>
  <si>
    <t>1680-09e_298</t>
  </si>
  <si>
    <t>https://gallica.bnf.fr/ark:/12148/bpt6k6372016b/f306.item</t>
  </si>
  <si>
    <t>Vista del Fuente y plazuela de la cavada</t>
  </si>
  <si>
    <t>[Vue de la Plaza de Santo Domingo, dite de la Cevada]*</t>
  </si>
  <si>
    <t>[La Figure où est écrit, Vista del Fuente y Plazuela de la Cavad… Madrid</t>
  </si>
  <si>
    <t>295997 : MADRID, Place de la Cebada</t>
  </si>
  <si>
    <t xml:space="preserve">architecture ; sculpture ; topographie ; héraldique ; </t>
  </si>
  <si>
    <t xml:space="preserve">place ; palais ; fontaine ; armoiries ; cheval ; église ; </t>
  </si>
  <si>
    <t>13,5 x 23,5 cm</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</si>
  <si>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</si>
  <si>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</si>
  <si>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1680-10_165</t>
  </si>
  <si>
    <t>https://gallica.bnf.fr/ark:/12148/bpt6k6222726h/f181.item</t>
  </si>
  <si>
    <t>[Portrait du chancelier Michel Le Tellier]*</t>
  </si>
  <si>
    <t>[La Médaille qui représente M. le Chancelier]</t>
  </si>
  <si>
    <t>Mica. Le Telier fran. Cancel</t>
  </si>
  <si>
    <t>Habetque suum gallia catonem 1680</t>
  </si>
  <si>
    <t>1680-10_263</t>
  </si>
  <si>
    <t>https://gallica.bnf.fr/ark:/12148/bpt6k6222726h/f280.item</t>
  </si>
  <si>
    <t>El estanquete del buen-Retiro</t>
  </si>
  <si>
    <t>[Vue de l'étang du palais de Buen Retiro]*</t>
  </si>
  <si>
    <t>[La Veuë de l'Etang du Buen Retiro]</t>
  </si>
  <si>
    <t xml:space="preserve">802 : MADRID, Palais du Buen Retiro </t>
  </si>
  <si>
    <t>topographie ; architecture</t>
  </si>
  <si>
    <t xml:space="preserve">jardin ; étang ; fontaine ; </t>
  </si>
  <si>
    <t>1680-10_354</t>
  </si>
  <si>
    <t>BnF, Ars, 8-H-26484(69)</t>
  </si>
  <si>
    <t>https://gallica.bnf.fr/ark:/12148/bpt6k6222726h/f372.item</t>
  </si>
  <si>
    <t>Prothée Enigme</t>
  </si>
  <si>
    <t>[Énigme en figure : Protée]*</t>
  </si>
  <si>
    <t>Protée ; mer ; Ménélas</t>
  </si>
  <si>
    <t>1680-11_220</t>
  </si>
  <si>
    <t>https://gallica.bnf.fr/ark:/12148/bpt6k6220868k/f232.item</t>
  </si>
  <si>
    <t>[Médaille figurant le roi Christian V de Danemark]*</t>
  </si>
  <si>
    <t>607 : ROYAUME DE DANEMARK</t>
  </si>
  <si>
    <t>médaille ; corne d'abondance ; caducée ; Félicité (personnification)</t>
  </si>
  <si>
    <t>badaa78b-c5a8-4856-9fd3-2f784a3cdf73</t>
  </si>
  <si>
    <t xml:space="preserve">christian_v_(1646-1699)_roi_de_danemark ; </t>
  </si>
  <si>
    <t>Christian. V. D.G. Rex Dan Nor. Va &amp; Got</t>
  </si>
  <si>
    <t>Felicitas Publica</t>
  </si>
  <si>
    <t>1680-11_274</t>
  </si>
  <si>
    <t>https://gallica.bnf.fr/ark:/12148/bpt6k6220868k/f285.item</t>
  </si>
  <si>
    <t>Hermita de San Antonio que esta en el Buen Retiro</t>
  </si>
  <si>
    <t>[Vue de l'ermitage au palais de Buen Retiro à Madrid]*</t>
  </si>
  <si>
    <t>[La Figure où est écrit, Hermita de San Antonio, etc.]</t>
  </si>
  <si>
    <t xml:space="preserve">palais ; jardin ; </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</si>
  <si>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</si>
  <si>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</si>
  <si>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1680-11_346</t>
  </si>
  <si>
    <t>BnF, Ars, 8-H-26484(71)</t>
  </si>
  <si>
    <t>https://gallica.bnf.fr/ark:/12148/bpt6k6220868k/f358.item</t>
  </si>
  <si>
    <t>Vénus naissante Enigme</t>
  </si>
  <si>
    <t>[Énigme en figure : Vénus]*</t>
  </si>
  <si>
    <t>[Vénus Enigme]</t>
  </si>
  <si>
    <t>Vénus ; mer</t>
  </si>
  <si>
    <t>1680-12_156</t>
  </si>
  <si>
    <t>https://gallica.bnf.fr/ark:/12148/bpt6k65149372/f171.item</t>
  </si>
  <si>
    <t>[Médaille offerte par la Suède à Louis XIV, représentant un globe surmonté d'un coq]*</t>
  </si>
  <si>
    <t>[La Médaille où est un Coq]</t>
  </si>
  <si>
    <t>1527 : EMPIRE SUÉDOIS</t>
  </si>
  <si>
    <t>médaille ; coq ; église ; épée ; globe ; maison</t>
  </si>
  <si>
    <t>Sub umbra alarum</t>
  </si>
  <si>
    <t>Gallus Protector</t>
  </si>
  <si>
    <t>1680-12_173</t>
  </si>
  <si>
    <t>https://gallica.bnf.fr/ark:/12148/bpt6k65149372/f193.item</t>
  </si>
  <si>
    <t>[Madaille représentant Ferdinand-Marie de Bavière, électeur palatin de Bavière]*</t>
  </si>
  <si>
    <t>[La Médaille qui représente l'Electeur Palatin]</t>
  </si>
  <si>
    <t>1126 : CERCLE DE BAVIÈRE</t>
  </si>
  <si>
    <t>médaille ; fleuve, rivière, ruisseau ; forteresse ; île</t>
  </si>
  <si>
    <t>2517d99f-3dad-4d71-ad9f-4618915e0049</t>
  </si>
  <si>
    <t xml:space="preserve">baviere_ferdinand-marie_(1636-1679) ; </t>
  </si>
  <si>
    <r>
      <rPr>
        <b/>
        <sz val="10"/>
        <color theme="1"/>
        <rFont val="Arial"/>
        <family val="2"/>
      </rPr>
      <t xml:space="preserve">Sur l'avers de la médaille : </t>
    </r>
    <r>
      <rPr>
        <b/>
        <sz val="10"/>
        <color theme="1"/>
        <rFont val="Arial"/>
        <family val="2"/>
      </rPr>
      <t>monogramme "IL".</t>
    </r>
  </si>
  <si>
    <t>Car. Lud. D-G. Com. Pal. Rg. S.R.I. Archith. &amp;. El. B. D. 1676. [Exergue :] IL</t>
  </si>
  <si>
    <t>Utriusq Tutelæ</t>
  </si>
  <si>
    <t>1680-12_304</t>
  </si>
  <si>
    <t>BnF, Ars, 8-H-26484(72)</t>
  </si>
  <si>
    <t>https://gallica.bnf.fr/ark:/12148/bpt6k65149372/f326.item</t>
  </si>
  <si>
    <t>Ascanius Enigme</t>
  </si>
  <si>
    <t>[Énigme en figure: Ascagne]*</t>
  </si>
  <si>
    <t>Ascagne ; Créuse ; Énée ; palais</t>
  </si>
  <si>
    <t>1680-12e_187</t>
  </si>
  <si>
    <t>https://gallica.bnf.fr/ark:/12148/bpt6k6373219k/f199.item</t>
  </si>
  <si>
    <t>Vista del Gran Estanque</t>
  </si>
  <si>
    <t>[Vue du grand étang du Buen Retiro à Madrid]*</t>
  </si>
  <si>
    <t>[La Veuë du grand Estant du Buen Retiro de Madrid]</t>
  </si>
  <si>
    <t xml:space="preserve">jardin ; étang ; montagne ; navire ; </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</si>
  <si>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</si>
  <si>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</si>
  <si>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1680-12e_192</t>
  </si>
  <si>
    <t>https://gallica.bnf.fr/ark:/12148/bpt6k6373219k/f204.item</t>
  </si>
  <si>
    <t>[Alphabet pour coder les correspondances]*</t>
  </si>
  <si>
    <t>[La Planche marquée des Lettres de l'Alphabet]</t>
  </si>
  <si>
    <t>101cf085-2571-49e2-8615-c036c536c9d6</t>
  </si>
  <si>
    <t>Vienne-Plancy, Antoine de</t>
  </si>
  <si>
    <r>
      <rPr>
        <b/>
        <sz val="10"/>
        <color theme="1"/>
        <rFont val="Arial"/>
        <family val="2"/>
      </rPr>
      <t xml:space="preserve">SIMON, Fabien, « Antoine de Vienne Plancy ou un feuilleton de la langue universelle dans la France du xviie siècle », </t>
    </r>
    <r>
      <rPr>
        <b/>
        <i/>
        <sz val="10"/>
        <color theme="1"/>
        <rFont val="Arial"/>
        <family val="2"/>
      </rPr>
      <t>Écrire l'histoire</t>
    </r>
    <r>
      <rPr>
        <b/>
        <sz val="10"/>
        <color theme="1"/>
        <rFont val="Arial"/>
        <family val="2"/>
      </rPr>
      <t xml:space="preserve"> [En ligne], n°19, 2019. URL : http://journals.openedition.org/elh/1956 ; DOI : https://doi.org/10.4000/elh.1956</t>
    </r>
  </si>
  <si>
    <t>1680-12e_268</t>
  </si>
  <si>
    <t>https://gallica.bnf.fr/ark:/12148/bpt6k6373219k/f282.item</t>
  </si>
  <si>
    <t>Vista de la Hermita de San Pablo que esta en el Buen Retiro de Madrid</t>
  </si>
  <si>
    <t>[Vue de l'ermitage de Saint-Paul du Buen Retiro à Madrid]*</t>
  </si>
  <si>
    <t>[La Veuë de l'Hermitage de S. Paul du Buen-Retiro]</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</si>
  <si>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</si>
  <si>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</si>
  <si>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MG-1681-01_076</t>
  </si>
  <si>
    <t>https://gallica.bnf.fr/ark:/12148/bpt6k6218374s/f102.item</t>
  </si>
  <si>
    <t>[Médaille représentant Gian Lorenzo Bernini]*</t>
  </si>
  <si>
    <t>[La Médaille du Cavalier Bernin]</t>
  </si>
  <si>
    <t>emblématique ; sculpture ; Beaux-Arts ; personnification des vices et des vertus</t>
  </si>
  <si>
    <t>médaille ; Arts (personnification) ; piédestal ; buste</t>
  </si>
  <si>
    <t>f8cb999d-7b66-443e-9be3-11ba05e26d9f</t>
  </si>
  <si>
    <t xml:space="preserve">bernini_gian_lorenzo_(1598-1680) ; </t>
  </si>
  <si>
    <t>D'après une médaille de Chéron, Charles Jean-François ; 84028. Sur l'avers de la médaille : "F. Chéron".</t>
  </si>
  <si>
    <t>Eques. Joa. Laurent Berninus. Etatis. Sue. Anno. 76. 1674 [Exergue :] F. Chéron</t>
  </si>
  <si>
    <t>Singularis. In singulis. In. Omnibus unicus.</t>
  </si>
  <si>
    <t>1681-01_271</t>
  </si>
  <si>
    <t>BnF, Ars, 8-H-26484(73)</t>
  </si>
  <si>
    <t>https://gallica.bnf.fr/ark:/12148/bpt6k6218374s/f299.item</t>
  </si>
  <si>
    <t>[Étendue de la comète apparue au-dessus du Capitole à Rome]*</t>
  </si>
  <si>
    <t>[Les deux Œufs]</t>
  </si>
  <si>
    <t xml:space="preserve">1673 : ROME </t>
  </si>
  <si>
    <t>astronomie</t>
  </si>
  <si>
    <t>œuf ; comète ; étoile</t>
  </si>
  <si>
    <t>1681-01_309</t>
  </si>
  <si>
    <t>https://gallica.bnf.fr/ark:/12148/bpt6k6218374s/f342.item</t>
  </si>
  <si>
    <t>Jetons et revers de médaille</t>
  </si>
  <si>
    <t>[Jetons de l'année 1681 et médaille venue d'Allemagne avec une épée, un bouclier et une corne d'Abondance (personnification)]*</t>
  </si>
  <si>
    <t>[Les Jettons]</t>
  </si>
  <si>
    <t>emblématique ; personnification des vices et des vertus ; mythologie gréco-romaine ; personnification des villes, des États et des fleuves</t>
  </si>
  <si>
    <t>jetons ; médaille ; épée ; bouclier ; Prudence (personnification) ; soleil ; pièce d'artillerie ; aigle ; Ariane ; corne d'abondance ; caducée ; enclume ; palme ; aqueduc ; phare ; nid ; ancre ; France (personnification) ; globe terrestre ; serpent ; pont</t>
  </si>
  <si>
    <t>D'après des médailles de Chéron, Charles Jean-François ; 84028 et Loir. Voir l'article afférent à l'estampe.</t>
  </si>
  <si>
    <t>1681-02_177</t>
  </si>
  <si>
    <t>BnF, Ars, 8-H-26484(75)</t>
  </si>
  <si>
    <t>https://gallica.bnf.fr/ark:/12148/bpt6k62182308/f193.item</t>
  </si>
  <si>
    <t>Cometa apparsa in Roma l'Anno 1680. nel segno di Vergine di gradi 13 (Vista alli 4. Novembre dell'anno suddetto.</t>
  </si>
  <si>
    <t>[Comète apparue au-dessus du Capitole à Rome]*</t>
  </si>
  <si>
    <t>[La Figure de la Comete &amp; des trois Œufs]</t>
  </si>
  <si>
    <t>comète ; œuf ; étoile</t>
  </si>
  <si>
    <t>Sur l'estampe : "Si stampano in Piazza Novano dal Marinari." Voir également l'article afférent à l'estampe.</t>
  </si>
  <si>
    <t>Autre édition parisienne : https://gallica.bnf.fr/ark:/12148/btv1b8491364t/f1.item</t>
  </si>
  <si>
    <t>1681-02_299</t>
  </si>
  <si>
    <t>https://gallica.bnf.fr/ark:/12148/bpt6k62182308/f317.item</t>
  </si>
  <si>
    <t>Vista del Jardin de la Casa del Campo</t>
  </si>
  <si>
    <t>[Vue du jardin et des fontaines de la Casa del Campo]*</t>
  </si>
  <si>
    <t>[La Figure où est écrit, Vista del Jardin de la Casa del Campo]</t>
  </si>
  <si>
    <t xml:space="preserve">295453 : MADRID, Casa del Campo </t>
  </si>
  <si>
    <t>topographie ; sculpture</t>
  </si>
  <si>
    <t>jardin ; statue ; piédestal ; fontaine</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</si>
  <si>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</si>
  <si>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</si>
  <si>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https://www.parismuseescollections.paris.fr/ru/recherche/type/oeuvre/ET/auteur/Meunier%20ou%20Meusnier%20ou%20Musnier%2C%20Louis</t>
  </si>
  <si>
    <t>1681-02_323</t>
  </si>
  <si>
    <t>MG-1681-02_323</t>
  </si>
  <si>
    <t>https://gallica.bnf.fr/ark:/12148/bpt6k62182308/f343.item</t>
  </si>
  <si>
    <t>[Énigme en figure : les deux géants]*</t>
  </si>
  <si>
    <t>géant ; nain ; sabre ; combat mythologique</t>
  </si>
  <si>
    <t>MG-1681-03_063</t>
  </si>
  <si>
    <t>https://gallica.bnf.fr/ark:/12148/bpt6k6225094v/f100.item</t>
  </si>
  <si>
    <t>[Fêtes à Vicence : char de parade avec Médée et les argonautes]*</t>
  </si>
  <si>
    <t>[La Planche dans laquelle il y a un Char]</t>
  </si>
  <si>
    <t>1806 : VICENCE</t>
  </si>
  <si>
    <t xml:space="preserve">décor éphémère ; architecture ; sculpture ; objets décoratifs et d'apparat ; mythologie gréco-romaine ; </t>
  </si>
  <si>
    <t>char ; cheval ; palais ; statue ; Médée ; argonautes</t>
  </si>
  <si>
    <t>16,5 x 22,5 cm</t>
  </si>
  <si>
    <t>https://gallica.bnf.fr/ark:/12148/bpt6k6225094v/f115.item</t>
  </si>
  <si>
    <t>[Fêtes à Vicence : parade des monstres qu'ont dû affronter Jason et les argonautes]*</t>
  </si>
  <si>
    <t>[La Planche qui est remplie de Monstres]</t>
  </si>
  <si>
    <t>décor de spectacle ; mythologie gréco-romaine ; architecture ; sculpture</t>
  </si>
  <si>
    <t>monstre ; taureau aux pieds d'airain ; dragon du jardin des Hespérides ; colonne ; place ; cheval ; lance ; bouclier ; palais ; cadran ou horloge ; statue ; argonautes ; Nessus ; stymphalide ; griffon</t>
  </si>
  <si>
    <t>MG-1681-03e_167</t>
  </si>
  <si>
    <t>Casa real de la Zarzuela</t>
  </si>
  <si>
    <t>[Vue de la Casa Real de la Zarzuela]*</t>
  </si>
  <si>
    <t>[La Figure où est représentée la Casa Real de la Zarzuela]</t>
  </si>
  <si>
    <t>806 : MADRID, Théâtre de la Zarzuela</t>
  </si>
  <si>
    <t>topographie ; héraldique ; architecture</t>
  </si>
  <si>
    <t xml:space="preserve">place ; théâtre ; armoiries ; </t>
  </si>
  <si>
    <t>12,2 x 24 cm</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</si>
  <si>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</si>
  <si>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</si>
  <si>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1681-03e_296</t>
  </si>
  <si>
    <t>MG-1681-03e_296</t>
  </si>
  <si>
    <t>Casa real del Pardo</t>
  </si>
  <si>
    <t>[Vue de la Casa Real del Pardo]*</t>
  </si>
  <si>
    <t>[La Figure où est représentée la Casa Real del Pardo]</t>
  </si>
  <si>
    <t>295995 : MADRID, Palais royal du Pardo</t>
  </si>
  <si>
    <t xml:space="preserve">place ; palais ; cheval ; cadran ou horloge ; </t>
  </si>
  <si>
    <t>12 x 24 cm</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</si>
  <si>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</si>
  <si>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</si>
  <si>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 xml:space="preserve">1681-04_096 </t>
  </si>
  <si>
    <t>https://gallica.bnf.fr/ark:/12148/bpt6k62252133/f102.item</t>
  </si>
  <si>
    <t>Systeme Royal</t>
  </si>
  <si>
    <t>[Cadran représentant les dernières campagnes du roi]*</t>
  </si>
  <si>
    <t>[Le Systéme]</t>
  </si>
  <si>
    <t xml:space="preserve">cadran ou horloge ; </t>
  </si>
  <si>
    <r>
      <rPr>
        <b/>
        <u/>
        <sz val="10"/>
        <color rgb="FF1155CC"/>
        <rFont val="Arial"/>
        <family val="2"/>
      </rPr>
      <t>Michault, René (fl. 1666-1684)</t>
    </r>
    <r>
      <rPr>
        <b/>
        <sz val="10"/>
        <rFont val="Arial"/>
        <family val="2"/>
      </rPr>
      <t xml:space="preserve"> ; 83978 (graveur en lettres)</t>
    </r>
  </si>
  <si>
    <t>Sur l'estampe : "R. Michault Scripsit 1681".</t>
  </si>
  <si>
    <r>
      <rPr>
        <b/>
        <sz val="10"/>
        <color theme="1"/>
        <rFont val="Arial"/>
        <family val="2"/>
      </rPr>
      <t xml:space="preserve">MEYER, Véronique, </t>
    </r>
    <r>
      <rPr>
        <b/>
        <i/>
        <sz val="10"/>
        <color theme="1"/>
        <rFont val="Arial"/>
        <family val="2"/>
      </rPr>
      <t>Pour la plus grande gloire du roi. Louis XIV en thèses</t>
    </r>
    <r>
      <rPr>
        <b/>
        <sz val="10"/>
        <color theme="1"/>
        <rFont val="Arial"/>
        <family val="2"/>
      </rPr>
      <t>, Rennes, PUR, 2017, p. 143.</t>
    </r>
  </si>
  <si>
    <t xml:space="preserve">1681-04_304 </t>
  </si>
  <si>
    <t>MG-1681-04_304</t>
  </si>
  <si>
    <t>https://gallica.bnf.fr/ark:/12148/bpt6k62252133/f310.item</t>
  </si>
  <si>
    <t>El Palacio de Aranjuez</t>
  </si>
  <si>
    <t>[Vue du palais d'Aranjuez]*</t>
  </si>
  <si>
    <t>[La Planche où est écrit El Palacio de Aranjuez]</t>
  </si>
  <si>
    <t>789 : ARANJUEZ</t>
  </si>
  <si>
    <t xml:space="preserve">1681-05_199 </t>
  </si>
  <si>
    <t>https://gallica.bnf.fr/ark:/12148/bpt6k6517305z/f212.item</t>
  </si>
  <si>
    <t>Vista de la gran Fuente de Aranjuez</t>
  </si>
  <si>
    <t>[Vue de la fontaine dans les jardins du palais d'Aranjuez]*</t>
  </si>
  <si>
    <t>[La Veuë de la grande Fontaine du Jardin d'Aranjuez]</t>
  </si>
  <si>
    <t>jardin ; fontaine</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</si>
  <si>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</si>
  <si>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</si>
  <si>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r>
      <rPr>
        <b/>
        <u/>
        <sz val="10"/>
        <color rgb="FF1155CC"/>
        <rFont val="Arial"/>
        <family val="2"/>
      </rPr>
      <t>https: ; / www.pop.culture.gouv.fr ; notice ; joconde ; 05120012036</t>
    </r>
    <r>
      <rPr>
        <b/>
        <u/>
        <sz val="10"/>
        <color rgb="FF000000"/>
        <rFont val="Arial"/>
        <family val="2"/>
      </rPr>
      <t xml:space="preserve"> ;</t>
    </r>
  </si>
  <si>
    <t>1681-05_350</t>
  </si>
  <si>
    <t>https://gallica.bnf.fr/ark:/12148/bpt6k6517305z/f360.item</t>
  </si>
  <si>
    <t>Lotterie Royale</t>
  </si>
  <si>
    <t>[Loterie de Louis XIV pour la Cour]*</t>
  </si>
  <si>
    <t>[La Loterie Royale]</t>
  </si>
  <si>
    <t>vie sociale ;</t>
  </si>
  <si>
    <t>loterie</t>
  </si>
  <si>
    <t>MG-1681-06_162</t>
  </si>
  <si>
    <t>https://gallica.bnf.fr/ark:/12148/bpt6k6269562z/f192.item</t>
  </si>
  <si>
    <t>[Plan du barrage de Saint-Ferréol]*</t>
  </si>
  <si>
    <t>[La Figure où passe un Ruisseau entre deux Montagnes]</t>
  </si>
  <si>
    <t>296863 : REVEL</t>
  </si>
  <si>
    <t>topographie ; hydraulique</t>
  </si>
  <si>
    <t>fleuve, rivière, ruisseau ; montagne ; lac ; barrage</t>
  </si>
  <si>
    <t>plans d'ouvrages de génie civil</t>
  </si>
  <si>
    <t>14,8 x 13 cm</t>
  </si>
  <si>
    <t>https://gallica.bnf.fr/ark:/12148/bpt6k6269562z/f209.item</t>
  </si>
  <si>
    <t>[Plan du bassin de Naurouse, point de partage des eaux du canal du Midi]*</t>
  </si>
  <si>
    <t>[La Figure octogone]</t>
  </si>
  <si>
    <t>296201 : MONTFERRAND</t>
  </si>
  <si>
    <t>bassin ; canal</t>
  </si>
  <si>
    <t>14,3 x 17 cm</t>
  </si>
  <si>
    <t>1681-06e_176</t>
  </si>
  <si>
    <t>Numéro manque dans Gallica au 20 ; 05 ; 21</t>
  </si>
  <si>
    <t xml:space="preserve">La Fuente de los Delphines en Aranjuez </t>
  </si>
  <si>
    <t>[Vue de la fontaine des dauphins au palais d'Aranjuez]*</t>
  </si>
  <si>
    <t>[La Figure où est écrit, La Fuente de los Delphines en Aranjuez]</t>
  </si>
  <si>
    <t>topographie ; héraldique ; architecture ; sculpture</t>
  </si>
  <si>
    <t>fontaine ; jardin ; armoiries ; statue</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</si>
  <si>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</si>
  <si>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</si>
  <si>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https://www.photo.rmn.fr/CS.aspx?VP3=SearchResult&amp;VBID=2CMFCIB5J5MDC</t>
  </si>
  <si>
    <t xml:space="preserve">1681-06e_314 </t>
  </si>
  <si>
    <t>La Fuente de Dom Juan en Austria : La Fuente de la Espina</t>
  </si>
  <si>
    <t>[La vue de deux fontaines : la Fuente de Dom Juan en Austria et la Fuente de la Espina]*</t>
  </si>
  <si>
    <t>[La Figure où sont représentées deux Fontaines]</t>
  </si>
  <si>
    <t>jardin ; fontaine ; statue</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</si>
  <si>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</si>
  <si>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</si>
  <si>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 xml:space="preserve">1681-07a_173 </t>
  </si>
  <si>
    <t>https://gallica.bnf.fr/ark:/12148/bpt6k6218413f/f189.item</t>
  </si>
  <si>
    <t>Veuë du château et Bains de Bourbon Lanci</t>
  </si>
  <si>
    <t>[Vue des bains de Bourbon-Lancy]*</t>
  </si>
  <si>
    <t>[La Veuë de Bourbon ]</t>
  </si>
  <si>
    <t>296907 : BOURBON-LANCY</t>
  </si>
  <si>
    <t>topographie ; architecture ; hydraulique</t>
  </si>
  <si>
    <t>ville ; bains ; château ; église</t>
  </si>
  <si>
    <t>1681-07a_187</t>
  </si>
  <si>
    <t>https://gallica.bnf.fr/ark:/12148/bpt6k6218413f/f202.item</t>
  </si>
  <si>
    <t>Plan des bains de Bourbon Lancy</t>
  </si>
  <si>
    <t>[Plan des bains de Bourbon-Lancy]*</t>
  </si>
  <si>
    <t>[Le Plan des Fontaines de Bourbon]</t>
  </si>
  <si>
    <t>topographie ; héraldique ; hydraulique ; architecture</t>
  </si>
  <si>
    <t>fontaine ; bains ; armoiries</t>
  </si>
  <si>
    <t>1681-07b_266</t>
  </si>
  <si>
    <t>El Palacio de Lisboa</t>
  </si>
  <si>
    <t>[Vue du palais de Lisbonne]*</t>
  </si>
  <si>
    <t>739 : LISBONNE</t>
  </si>
  <si>
    <t>palais ; mer ; navire ; drapeau ou étendard</t>
  </si>
  <si>
    <t>MG-1681-08_080</t>
  </si>
  <si>
    <t>https://gallica.bnf.fr/ark:/12148/bpt6k6517241g/f94.item</t>
  </si>
  <si>
    <t>[Vue de la Fontaine des Tritons des jardins d'Aranjuez]*</t>
  </si>
  <si>
    <t>[La Planche qui représente la Veuë d'un Jardin]</t>
  </si>
  <si>
    <t>topographie</t>
  </si>
  <si>
    <t>jardin</t>
  </si>
  <si>
    <t>1681-08_260</t>
  </si>
  <si>
    <t>https://gallica.bnf.fr/ark:/12148/bpt6k6517241g/f276.item</t>
  </si>
  <si>
    <t>[Médaille représentant Monsieur]*</t>
  </si>
  <si>
    <t>[La Médaille de Monsieur]</t>
  </si>
  <si>
    <t>médaille ; grenade (arme) ; montagne</t>
  </si>
  <si>
    <t>1de6c7e5-8ff5-4841-b792-e49a706fb3d1</t>
  </si>
  <si>
    <t xml:space="preserve">orleans_philippe_i_(1640-1701)_duc_d ; </t>
  </si>
  <si>
    <t>Philippe de France duc d'Orléans [Exergue :] De La Haye</t>
  </si>
  <si>
    <t>Alter post fulmina terror [Exergue :] 1681</t>
  </si>
  <si>
    <t>1681-09_058</t>
  </si>
  <si>
    <t>https://gallica.bnf.fr/ark:/12148/bpt6k6228808s/f72.item</t>
  </si>
  <si>
    <t>[Médaille représentant une croix de chavalier de Saint-Marc]*</t>
  </si>
  <si>
    <t>[La Croix de Chevalier de S. Marc]</t>
  </si>
  <si>
    <t>Ordre de Saint-Marc</t>
  </si>
  <si>
    <t>1762 : RÉPUBLIQUE DE VENISE</t>
  </si>
  <si>
    <t>emblématique ; religion</t>
  </si>
  <si>
    <t>médaille ; lion de saint Marc</t>
  </si>
  <si>
    <t>https://gallica.bnf.fr/ark:/12148/bpt6k6228808s/f340.item</t>
  </si>
  <si>
    <t>[Médaille avec le portrait de la duchesse de Fontanges]*</t>
  </si>
  <si>
    <t>[La Médaille de Madame la Duchesse de Fontange]</t>
  </si>
  <si>
    <t>74e87d92-c385-49bf-a988-0d113c4ecaf7</t>
  </si>
  <si>
    <t>fontanges_marie-angelique_descorailles_de_roussille_(1661-1681)_duchesse_de</t>
  </si>
  <si>
    <r>
      <rPr>
        <b/>
        <sz val="10"/>
        <color theme="1"/>
        <rFont val="Arial"/>
        <family val="2"/>
      </rPr>
      <t>Sur l'avers de la médaille : "</t>
    </r>
    <r>
      <rPr>
        <b/>
        <sz val="10"/>
        <color theme="1"/>
        <rFont val="Arial"/>
        <family val="2"/>
      </rPr>
      <t>De La Haye"</t>
    </r>
    <r>
      <rPr>
        <b/>
        <sz val="10"/>
        <color theme="1"/>
        <rFont val="Arial"/>
        <family val="2"/>
      </rPr>
      <t>.</t>
    </r>
  </si>
  <si>
    <t>Marie. Descoraille. Duchesse. De. Fontagne. [Exergue :] De La Haye F.</t>
  </si>
  <si>
    <t>1681-09e_214</t>
  </si>
  <si>
    <t>MG-1681-09e_214</t>
  </si>
  <si>
    <t>https://gallica.bnf.fr/ark:/12148/bpt6k63740307/f226.item</t>
  </si>
  <si>
    <t>Fuente de Neptune en Aranjuez ; Fuente de Bacco en Aranjuez</t>
  </si>
  <si>
    <t>[Fontaines de Neptune et de Bacchus au palais d'Aranjuez]*</t>
  </si>
  <si>
    <t>[La Figure des Fontaines de Bacchus &amp; de Neptune]</t>
  </si>
  <si>
    <t xml:space="preserve">789 : ARANJUEZ </t>
  </si>
  <si>
    <t>topographie ; mythologie gréco-romaine ; architecture ; sculpture</t>
  </si>
  <si>
    <t>jardin ; Bacchus ; Neptune ; fontaine ; statue</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</si>
  <si>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</si>
  <si>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</si>
  <si>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1681-09e_356</t>
  </si>
  <si>
    <t>MG-1681-09e_356</t>
  </si>
  <si>
    <t>https://gallica.bnf.fr/ark:/12148/bpt6k63740307/f368.item</t>
  </si>
  <si>
    <t>Entrée de l'Escurial</t>
  </si>
  <si>
    <t>[Vue de l'entrée de l'Escurial]*</t>
  </si>
  <si>
    <t>[La Figure de l'Entrée de l'Escurial]</t>
  </si>
  <si>
    <t>295639 : EL ESCORIAL</t>
  </si>
  <si>
    <t xml:space="preserve">place ; palais ; montagne ; </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</si>
  <si>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</si>
  <si>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</si>
  <si>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1681-10_094</t>
  </si>
  <si>
    <t xml:space="preserve">BnF, 8-Lc2-33 </t>
  </si>
  <si>
    <t>https://gallica.bnf.fr/ark:/12148/bpt6k6220545j/f102.item</t>
  </si>
  <si>
    <t>[Enfants siamois autopsiés au Havre]*</t>
  </si>
  <si>
    <t>[La Figure des deux Enfans]</t>
  </si>
  <si>
    <t>2525 : LE HAVRE DE GRÂCE</t>
  </si>
  <si>
    <t>siamois ; monstre ;</t>
  </si>
  <si>
    <t>1681-10_207</t>
  </si>
  <si>
    <t>https://gallica.bnf.fr/ark:/12148/bpt6k6220545j/f219.item</t>
  </si>
  <si>
    <t xml:space="preserve">Armes des seize Cardinaux faites par Sa Saincteté le 1e septembre 1681 </t>
  </si>
  <si>
    <t>[Armoiries de cardinaux]*</t>
  </si>
  <si>
    <t>[Les Armes des Cardinaux]</t>
  </si>
  <si>
    <t>héraldique ; religion</t>
  </si>
  <si>
    <t>armoiries</t>
  </si>
  <si>
    <t>1681-11_245</t>
  </si>
  <si>
    <t>https://gallica.bnf.fr/ark:/12148/bpt6k65172528/f259.item</t>
  </si>
  <si>
    <t>[La ville de Casale Monferrato, résidence des ducs de Mantoue]*</t>
  </si>
  <si>
    <t>[La Ville de Cazal]</t>
  </si>
  <si>
    <t>1236 : CASAL</t>
  </si>
  <si>
    <t>topographie ; vie militaire ; héraldique</t>
  </si>
  <si>
    <t>ville ; citadelle ; forteresse ; fleuve, rivière, ruisseau ; château ; église ; tour ; drapeau ou étendard ; cadran ou horloge ; cheval ; île ; armoiries</t>
  </si>
  <si>
    <t>1681-11_324</t>
  </si>
  <si>
    <t>https://gallica.bnf.fr/ark:/12148/bpt6k65172528/f341.item</t>
  </si>
  <si>
    <t xml:space="preserve">Première Cour de l'Escurial </t>
  </si>
  <si>
    <t>[Vue de la cour de l'Escurial]*</t>
  </si>
  <si>
    <t>[La premiere Court de l'Escurial]</t>
  </si>
  <si>
    <t>cour ; palais ; colonne ; statue ; cadran ou horloge</t>
  </si>
  <si>
    <r>
      <rPr>
        <b/>
        <u/>
        <sz val="10"/>
        <color rgb="FF1155CC"/>
        <rFont val="Arial"/>
        <family val="2"/>
      </rPr>
      <t>Meunier, Louis (fl. 1630-1680)</t>
    </r>
    <r>
      <rPr>
        <b/>
        <sz val="10"/>
        <rFont val="Arial"/>
        <family val="2"/>
      </rPr>
      <t xml:space="preserve"> ; 83938</t>
    </r>
  </si>
  <si>
    <t>D'après une gravure de L. Meunier rattachée à une suite d'estampes intitulée Diversas vistas differentes veues des palais et Jardins de Plaisance des Rois despagne dedie a la Reine (n. d.).</t>
  </si>
  <si>
    <t>1681-12_042</t>
  </si>
  <si>
    <t>MG-1681-12_042</t>
  </si>
  <si>
    <t>https://gallica.bnf.fr/ark:/12148/bpt6k62281306/f54.item</t>
  </si>
  <si>
    <t>Devises sur Strasbourg soumis</t>
  </si>
  <si>
    <t>[Devises à l'occasion de la reddition de Strasbourg]*</t>
  </si>
  <si>
    <t>emblèmes et devises ; vie militaire</t>
  </si>
  <si>
    <t>ville ; foudre ; église ; citadelle ; fleuve, rivière, ruisseau ; forteresse ; roseau ; fusil ; éclipse ; montagne ; corne d'abondance ; Vents ; lune ; champ</t>
  </si>
  <si>
    <t>1681-12_281</t>
  </si>
  <si>
    <t>BnF, Ars, 8-H-26484(89)</t>
  </si>
  <si>
    <t>MG-1681-12_281</t>
  </si>
  <si>
    <t>https://gallica.bnf.fr/ark:/12148/bpt6k62281306/f302.item</t>
  </si>
  <si>
    <t>[Allégorie du médecin, du chirurgien et de l'apothicaire, le canon symbolisant une seringue]*</t>
  </si>
  <si>
    <t>énigme en figure</t>
  </si>
  <si>
    <t>médecin ; chirurgien ; apothicaire ; pièce d'artillerie ;</t>
  </si>
  <si>
    <t>3bdc89cf-3501-4d0d-95a0-90f968a75b08</t>
  </si>
  <si>
    <t>girardon_françois_(1628-1715)</t>
  </si>
  <si>
    <t>Sur l'estampe : "Girardon".</t>
  </si>
  <si>
    <t>1681-12e_155</t>
  </si>
  <si>
    <t>Un des sept cloistres de l'Escurial</t>
  </si>
  <si>
    <t>[Vue de l'un des cloîtres de l'Escurial]*</t>
  </si>
  <si>
    <t>[La Figure où est écrit un des sept Cloistres de l'Escurial]</t>
  </si>
  <si>
    <t>cour ; palais ; fontaine</t>
  </si>
  <si>
    <t>14,1 x 23,2 cm</t>
  </si>
  <si>
    <r>
      <rPr>
        <b/>
        <u/>
        <sz val="10"/>
        <color rgb="FF1155CC"/>
        <rFont val="Arial"/>
        <family val="2"/>
      </rPr>
      <t xml:space="preserve">Meunier, Louis (fl. 1630-1680) </t>
    </r>
    <r>
      <rPr>
        <b/>
        <sz val="10"/>
        <rFont val="Arial"/>
        <family val="2"/>
      </rPr>
      <t>;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</si>
  <si>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</si>
  <si>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1681-12e_334</t>
  </si>
  <si>
    <t>MG-1681-12e_334</t>
  </si>
  <si>
    <t>Le grand cloître de l'Escurial</t>
  </si>
  <si>
    <t>[Vue du grand cloître de l'Escurial]*</t>
  </si>
  <si>
    <t>[La Figure d'un des grands Cloistres de l'Escurial]</t>
  </si>
  <si>
    <t>cour ; palais ; fontaine ; jardin ; statue</t>
  </si>
  <si>
    <t>13,2 x 24,5 cm</t>
  </si>
  <si>
    <t>1682-01_054</t>
  </si>
  <si>
    <t>https://gallica.bnf.fr/ark:/12148/bpt6k6258812h/f60.item</t>
  </si>
  <si>
    <t>Jettons de l'année 1682</t>
  </si>
  <si>
    <t>[Jetons de l'année 1682]*</t>
  </si>
  <si>
    <t>301932 : QUARTIER DE LA CITÉ [Paris] ; 2944 : PARIS, Cathédrale Notre-Dame</t>
  </si>
  <si>
    <t>jetons ; médaille ; soleil ; aigle ; ville ; trophée ; foudre ; palmier ; oranger ; gouvernail ; écluse ; autel ; pavot ; merlette ; salamandre</t>
  </si>
  <si>
    <t>MG-1682-01_291</t>
  </si>
  <si>
    <t>https://gallica.bnf.fr/ark:/12148/bpt6k6258812h/f349.item</t>
  </si>
  <si>
    <t>Entrée du Palais des Rois Affriquains, apellée la Cour des Lyons dans l'Alhambre de Grenade</t>
  </si>
  <si>
    <t>[Vue de la cour des lions du palais de l'Alhambra de Grenade]*</t>
  </si>
  <si>
    <t>[La Veuë de l'Entrée du Palais de l'Alhambre]</t>
  </si>
  <si>
    <t>924 : GRENADE, Alhambra</t>
  </si>
  <si>
    <t>palais ; fontaine</t>
  </si>
  <si>
    <t>1682-02_092</t>
  </si>
  <si>
    <t>https://gallica.bnf.fr/ark:/12148/bpt6k6517214k/f106.item</t>
  </si>
  <si>
    <t>[Médaille représentant Philippe d'Orléans, dit Monsieur, avec sa devise au revers et la bataille de Cassel]*</t>
  </si>
  <si>
    <t>[La Médaille qui représente Monsieur]</t>
  </si>
  <si>
    <t>1213 : CASSEL</t>
  </si>
  <si>
    <t>médaille ; cheval ; ville ; forteresse ; bataille ; armée</t>
  </si>
  <si>
    <t>Sur l'avers de la médaille : "De. La. Haye. F."</t>
  </si>
  <si>
    <t>Philippe de France duc Dorleans [Exergue :] De. La. Haye. F.</t>
  </si>
  <si>
    <t>Pugna ad Cassel. 1677 [Exergue :] Virtus. Ducis. Fortis. 16. DLH. 81.</t>
  </si>
  <si>
    <t>https://gallica.bnf.fr/ark:/12148/bpt6k6517214k/f335.item</t>
  </si>
  <si>
    <t>[Portrait de l'ambassadeur du Maroc et de sa suite à la Comédie-Italienne]*</t>
  </si>
  <si>
    <t>[Le Portrait de l'Ambassadeur de Maroc]</t>
  </si>
  <si>
    <t>176 : PARIS, Théâtre Italien</t>
  </si>
  <si>
    <t xml:space="preserve">1618 : ÉTATS DU ROI DE MAROC </t>
  </si>
  <si>
    <t>vie sociale ; décor</t>
  </si>
  <si>
    <t>tenture ; loge de théâtre</t>
  </si>
  <si>
    <t>cbf514a1-c9ba-4122-acaf-e1228cc15960</t>
  </si>
  <si>
    <t xml:space="preserve">Temim Attitouani, Mohammad [fl.1681-1682] ; 84112 ; </t>
  </si>
  <si>
    <t>portrait ; relevé décoratif</t>
  </si>
  <si>
    <t>Coypel, Antoine (1661-1722) ; 83868</t>
  </si>
  <si>
    <t>Sur l'estampe : "Trouvain. sculp." Voir également l'article afférent à l'estampe.</t>
  </si>
  <si>
    <r>
      <rPr>
        <b/>
        <u/>
        <sz val="10"/>
        <color rgb="FF1155CC"/>
        <rFont val="Arial"/>
        <family val="2"/>
      </rPr>
      <t>http: ; / collections.châteauversailles.fr ; #a3e059fe-c0a9-4da1-932a-e36fdae2fa17</t>
    </r>
    <r>
      <rPr>
        <b/>
        <u/>
        <sz val="10"/>
        <color rgb="FF1155CC"/>
        <rFont val="Arial"/>
        <family val="2"/>
      </rPr>
      <t xml:space="preserve"> ; </t>
    </r>
    <r>
      <rPr>
        <b/>
        <u/>
        <sz val="10"/>
        <color rgb="FF1155CC"/>
        <rFont val="Arial"/>
        <family val="2"/>
      </rPr>
      <t>https://catalogue.bnf.fr/ark:/12148/cb41505354f</t>
    </r>
  </si>
  <si>
    <t xml:space="preserve">SELMECI CASTIONI, Barbara, « De la loge de l'ambassadeur à l'éloge paradoxal. Naissance de la critique dramatique illustrée dans le Mercure galant (1682) », Littératures classiques, vol. 89, no. 1, 2016, p. 159-173. </t>
  </si>
  <si>
    <t>1682-03_080</t>
  </si>
  <si>
    <t>Article transcrit : MG-1682-03_080</t>
  </si>
  <si>
    <t>https://gallica.bnf.fr/ark:/12148/bpt6k62624915/f86.item</t>
  </si>
  <si>
    <t>[Médaille frappée à l'occasion de la paix de Nimègue]*</t>
  </si>
  <si>
    <r>
      <rPr>
        <b/>
        <sz val="10"/>
        <color theme="1"/>
        <rFont val="Comic Sans MS"/>
        <family val="4"/>
      </rPr>
      <t xml:space="preserve">médaille ; armoiries ; trophée ; soleil ; mer ; ville ; port ; Paix </t>
    </r>
    <r>
      <rPr>
        <b/>
        <sz val="10"/>
        <color theme="1"/>
        <rFont val="Comic Sans MS"/>
        <family val="4"/>
      </rPr>
      <t>(personnification)</t>
    </r>
    <r>
      <rPr>
        <b/>
        <sz val="10"/>
        <color theme="1"/>
        <rFont val="Comic Sans MS"/>
        <family val="4"/>
      </rPr>
      <t xml:space="preserve"> ; serpent ; clef ; navire ; palme ; aigle ; drapeau ou étendard ; couronne</t>
    </r>
  </si>
  <si>
    <t>Sur l'avers de la médaille : "C. V. Dishoukb. F."</t>
  </si>
  <si>
    <t>Firmata neo magi paxi 1678</t>
  </si>
  <si>
    <t>Pacatus solis virtutibus orbis [Exergue :] C. V. Dishoukb. F.</t>
  </si>
  <si>
    <t>1682-03_266</t>
  </si>
  <si>
    <t>https://gallica.bnf.fr/ark:/12148/bpt6k62624915/f276.item</t>
  </si>
  <si>
    <t>El patio de los Leones in Grenada</t>
  </si>
  <si>
    <t>[La cour des lions du palais de l'Alhambra de Grenade]*</t>
  </si>
  <si>
    <t>[La Planche qui représente le Chasteau de Grenade]</t>
  </si>
  <si>
    <t>925 : GRENADE, Alhambra</t>
  </si>
  <si>
    <t>topographie ; architecture ;</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</si>
  <si>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</si>
  <si>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</si>
  <si>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 xml:space="preserve">1682-03e_142 </t>
  </si>
  <si>
    <t>Veuë du derriere de l'Escurial</t>
  </si>
  <si>
    <t>[Vuë du derriere de l'Escurial]*</t>
  </si>
  <si>
    <t>[La Planche qui represente la Veuë du derriere de l'Escurial]</t>
  </si>
  <si>
    <t>palais ; montagne ; cheval</t>
  </si>
  <si>
    <r>
      <rPr>
        <b/>
        <u/>
        <sz val="10"/>
        <color rgb="FF1155CC"/>
        <rFont val="Arial"/>
        <family val="2"/>
      </rPr>
      <t xml:space="preserve">Meunier, Louis (fl. 1630-1680) </t>
    </r>
    <r>
      <rPr>
        <b/>
        <sz val="10"/>
        <rFont val="Arial"/>
        <family val="2"/>
      </rPr>
      <t>;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</si>
  <si>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</si>
  <si>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MG-1682-03e_251</t>
  </si>
  <si>
    <t>Veuë en perspective du derriere de l'Escurial</t>
  </si>
  <si>
    <t>[Vue de l'arrière de l'Escurial en perspective]*</t>
  </si>
  <si>
    <t>[La Planche qui représente le derriere de l'Escurial en perspective]</t>
  </si>
  <si>
    <t xml:space="preserve">295639 : EL ESCORIAL </t>
  </si>
  <si>
    <t xml:space="preserve">palais ; montagne ; </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</si>
  <si>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</si>
  <si>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</si>
  <si>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1682-04_004</t>
  </si>
  <si>
    <t>https://gallica.bnf.fr/ark:/12148/bpt6k62214532/f20.item</t>
  </si>
  <si>
    <t>[Anagramme et devises pour le roi Louis XIV]*</t>
  </si>
  <si>
    <t>[La Planche où sont les Anagrammes]</t>
  </si>
  <si>
    <t xml:space="preserve">soleil ; lune ; </t>
  </si>
  <si>
    <t>c84b738b-5876-4659-b478-0134ab07be28</t>
  </si>
  <si>
    <t>Berger, D. Antonius 84134</t>
  </si>
  <si>
    <t>Sur l'estampe : "D. Antoninus Berger Fuliensis Parisinus Invenit 1682" ; "R. Michault Scripsit".</t>
  </si>
  <si>
    <t>https: ; / catalogue.bnf.fr ; ark: ; 12148 ; cb415042887</t>
  </si>
  <si>
    <r>
      <rPr>
        <b/>
        <sz val="10"/>
        <color theme="1"/>
        <rFont val="Arial"/>
        <family val="2"/>
      </rPr>
      <t xml:space="preserve">DUPLESSIS, Georges, </t>
    </r>
    <r>
      <rPr>
        <b/>
        <i/>
        <sz val="10"/>
        <color theme="1"/>
        <rFont val="Arial"/>
        <family val="2"/>
      </rPr>
      <t>Inventaire de la collection d'estampes relatives à l'histoire de France léguée en 1863 à la Bibliothèque nationale par M. Michel Hennin</t>
    </r>
    <r>
      <rPr>
        <b/>
        <sz val="10"/>
        <color theme="1"/>
        <rFont val="Arial"/>
        <family val="2"/>
      </rPr>
      <t xml:space="preserve">, Paris, A. Picard, t. 2, vol. 1, 1678, p. 190 ; MEYER, Véronique, </t>
    </r>
    <r>
      <rPr>
        <b/>
        <i/>
        <sz val="10"/>
        <color theme="1"/>
        <rFont val="Arial"/>
        <family val="2"/>
      </rPr>
      <t>Pour la plus grande gloire du roi. Louis XIV en thèses</t>
    </r>
    <r>
      <rPr>
        <b/>
        <sz val="10"/>
        <color theme="1"/>
        <rFont val="Arial"/>
        <family val="2"/>
      </rPr>
      <t>, Rennes, PUR, 2017, p. 143.</t>
    </r>
  </si>
  <si>
    <t>MG-1682-05_009</t>
  </si>
  <si>
    <t>[Nouvelle cloche de Notre-Dame]*</t>
  </si>
  <si>
    <t>[La Figure de la Cloche]</t>
  </si>
  <si>
    <t>2944 : PARIS, Cathédrale Notre-Dame</t>
  </si>
  <si>
    <t>objets décoratifs et d'apparat ; religion ; héraldique ; architecture</t>
  </si>
  <si>
    <t>cloche</t>
  </si>
  <si>
    <t>23 x 35 cm</t>
  </si>
  <si>
    <t>1682-05_200</t>
  </si>
  <si>
    <t>L'Etang Royal dans le Palais des Rois Africains</t>
  </si>
  <si>
    <t>[Vue du grand étang du palais du Generalife à Grenade]*</t>
  </si>
  <si>
    <t>[Le grand Etang du Palais des Roys d'Afrique]</t>
  </si>
  <si>
    <t>925 : GRENADE, Généralife</t>
  </si>
  <si>
    <t xml:space="preserve">palais ; étang ; fontaine ; </t>
  </si>
  <si>
    <t>13,1 x 24,2 cm</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</si>
  <si>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</si>
  <si>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d'estampes intitulée</t>
    </r>
    <r>
      <rPr>
        <b/>
        <i/>
        <sz val="10"/>
        <color theme="1"/>
        <rFont val="Arial"/>
        <family val="2"/>
      </rPr>
      <t xml:space="preserve"> Diversas vistas differentes veues des palais et Jardins de Plaisance des Rois despagne </t>
    </r>
    <r>
      <rPr>
        <b/>
        <sz val="10"/>
        <color theme="1"/>
        <rFont val="Arial"/>
        <family val="2"/>
      </rPr>
      <t>dedie a la Reine (n. d.).</t>
    </r>
  </si>
  <si>
    <t>1682-06_180</t>
  </si>
  <si>
    <t>MG-1682-06_180</t>
  </si>
  <si>
    <t>https://gallica.bnf.fr/ark:/12148/bpt6k6224583g/f186.item</t>
  </si>
  <si>
    <t>El Palacio generaliphe de Granada</t>
  </si>
  <si>
    <t>[Vue du palais de Grenade]*</t>
  </si>
  <si>
    <t>[La Veuë du Genéralife, Palais des Roys d'Afrique]</t>
  </si>
  <si>
    <t>palais ; montagne ; fleuve, rivière, ruisseau ; navire</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</si>
  <si>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</si>
  <si>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</si>
  <si>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1682-06_294</t>
  </si>
  <si>
    <t>https://gallica.bnf.fr/ark:/12148/bpt6k6224583g/f301.item</t>
  </si>
  <si>
    <t>[Deux vues en élévation de l'Observatoire]*</t>
  </si>
  <si>
    <t>[L'Observatoire]</t>
  </si>
  <si>
    <t>104 : PARIS, Observatoire</t>
  </si>
  <si>
    <t>observatoire ; bas-relief</t>
  </si>
  <si>
    <t>élévation</t>
  </si>
  <si>
    <t>1682-06e_148</t>
  </si>
  <si>
    <t>Figure de la Pourpre décrite par Bellonius ; Figure de la Pourpre décrite par Rondelet ; Figure du Buccinum ou Cornet de mer décrit par Pline</t>
  </si>
  <si>
    <t>[Trois vues différentes de pourpre]*</t>
  </si>
  <si>
    <t>[La Planche qui représente trois différentes figures de la Pourpre]</t>
  </si>
  <si>
    <t>zoologie</t>
  </si>
  <si>
    <t xml:space="preserve">coquillage </t>
  </si>
  <si>
    <t>21,7 x 10,6 cm</t>
  </si>
  <si>
    <t>1682-06e_319</t>
  </si>
  <si>
    <t>Machine royale pour élever les eaux</t>
  </si>
  <si>
    <t xml:space="preserve">[Vue de profil et dessin schématique d'une machine pemettant d'élever le niveau de l'eau]* </t>
  </si>
  <si>
    <t>[La Planche qui represente la Figure Royale de l'élevation des Eaux]</t>
  </si>
  <si>
    <t>hydraulique ; héraldique</t>
  </si>
  <si>
    <t>écluse ; machine hydraulique ; armoiries</t>
  </si>
  <si>
    <t>19,6 x 15 cm</t>
  </si>
  <si>
    <t>1682-07_162</t>
  </si>
  <si>
    <t>BnF, Ars 8-H-26484 (18-529)</t>
  </si>
  <si>
    <t>https://gallica.bnf.fr/ark:/12148/bpt6k6227590j/f167.item</t>
  </si>
  <si>
    <t>[Médaile représentant le chancelier Le Tellier]*</t>
  </si>
  <si>
    <t>[La Médaille de Mr le Chancelier]</t>
  </si>
  <si>
    <t xml:space="preserve">emblématique ; personnification des vices et des vertus ; </t>
  </si>
  <si>
    <t>médaille ; Justice (personnification) ; Prudence (personnification)  ; miroir ; balance</t>
  </si>
  <si>
    <t xml:space="preserve">le_tellier_michel_(1603-1685) ; </t>
  </si>
  <si>
    <r>
      <rPr>
        <b/>
        <sz val="10"/>
        <rFont val="Arial"/>
        <family val="2"/>
      </rPr>
      <t>D'après une médaille d'</t>
    </r>
    <r>
      <rPr>
        <b/>
        <u/>
        <sz val="10"/>
        <color rgb="FF1155CC"/>
        <rFont val="Arial"/>
        <family val="2"/>
      </rPr>
      <t>Aury, Antoine (?-1722)</t>
    </r>
    <r>
      <rPr>
        <b/>
        <sz val="10"/>
        <rFont val="Arial"/>
        <family val="2"/>
      </rPr>
      <t>. Sur l'avers et le revers de la médaille : "Aury. F."</t>
    </r>
  </si>
  <si>
    <t>Michael Le Tellier. Franciæ. Cancellarius. [Exergue :] Aury. F.</t>
  </si>
  <si>
    <t>Rerumo. Prudens. Et. Secundis. Dubiisq. Rectus. [Exergue :] Aury. F. An. M. DC. LXXIX.</t>
  </si>
  <si>
    <t>1682-07_361</t>
  </si>
  <si>
    <t>BnF, Ars, 8-H-26484 (18-529)</t>
  </si>
  <si>
    <t>https://gallica.bnf.fr/ark:/12148/bpt6k6227590j/f367.item</t>
  </si>
  <si>
    <t>Vue du grand chasteau apellé Lalambre de Grenade ou la Tour Vermeil</t>
  </si>
  <si>
    <t>[Vue de l'Alhambra de Grenade depuis le palais du Généralife]*</t>
  </si>
  <si>
    <t>[La Planche des deux Chasteaux de Grenade]</t>
  </si>
  <si>
    <t xml:space="preserve">montagne ; palais ; cheval ; </t>
  </si>
  <si>
    <t>1682-08_097</t>
  </si>
  <si>
    <t>MG-1682-08_097</t>
  </si>
  <si>
    <t>https://gallica.bnf.fr/ark:/12148/bpt6k65172454/f109.item</t>
  </si>
  <si>
    <t>[Architecture éphémère pour un feu d'artifice donné à Paris à l'occasion de la naissance du duc de Bourgogne]*</t>
  </si>
  <si>
    <t>[Le Feu soûtenu par des Pilastres]</t>
  </si>
  <si>
    <t>décor éphémère ; personnification des vices et des vertus ; sculpture ; architecture</t>
  </si>
  <si>
    <t>feu d'artifice ; statue ; piédestal ; étoile ; amours ; dauphin ; Espérance (personnification) ; poisson (animal)</t>
  </si>
  <si>
    <t>25 x 17,7 cm</t>
  </si>
  <si>
    <t>https: ; / catalogue.bnf.fr ; ark: ; 12148 ; cb41504296v</t>
  </si>
  <si>
    <t>MG-1682-08_122</t>
  </si>
  <si>
    <t>https://gallica.bnf.fr/ark:/12148/bpt6k65172454/f146.item</t>
  </si>
  <si>
    <t>[Réjouissances données à Paris à l'occasion de la naissance du duc de Bretagne]*</t>
  </si>
  <si>
    <t>[L'autre Feu]</t>
  </si>
  <si>
    <t>93 : PARIS, Hôtel des Gobelins</t>
  </si>
  <si>
    <t>décor éphémère ; personnification des vices et des vertus ; sculpture ; architecture ; héraldique ; emblèmes et devises ; mythologie gréco-romaine</t>
  </si>
  <si>
    <t xml:space="preserve">feu d'artifice ; armoiries ; trophée ; bouclier ; armoiries ; obélisque ; théâtre ; palais ; statue ; piédestal ; Justice (personnification) ; Hercule ; Minerve ; cheval ; Abondance (personnification) ; temple ; Piété (personnification) ; Immortalité (personnification) ; palme ; bas-relief ; statue ; captifs ; dauphin ; pyramide </t>
  </si>
  <si>
    <t>dd8cc719-62b8-457e-89dc-358587579d57</t>
  </si>
  <si>
    <t xml:space="preserve">Le Brun, Charles (1619-1690) ; louis_dauphin_de_france_(1661-1711) ; </t>
  </si>
  <si>
    <t>25,2 x 22,8 cm</t>
  </si>
  <si>
    <t>1682-09a_109</t>
  </si>
  <si>
    <t>MG-1682-09a_109</t>
  </si>
  <si>
    <t>https://gallica.bnf.fr/ark:/12148/bpt6k115296s/f123.item</t>
  </si>
  <si>
    <t>Illumination des Galleries du Louvre pour la Naissance de Monseign.r le Duc de Bourgogne. le 25. aoust 1682.</t>
  </si>
  <si>
    <t>[Illuminations dans la Galerie du Louvre le jour de la Saint-Louis]*</t>
  </si>
  <si>
    <t>[La Figure de l'Illumination]</t>
  </si>
  <si>
    <t>123 : PARIS, Palais du Louvre, galeries</t>
  </si>
  <si>
    <t>décor éphémère ; Beaux-Arts ; musique ; architecture ; héraldique ; mythologie gréco-romaine ; personnification</t>
  </si>
  <si>
    <t>feu d'artifice ; cheval ; combat ; obélisque ; bas-relief ; massue ; bouclier ; palme ; trophée ; armoiries ; Victoire (personnification) ; statue ; Hercule ; Minerve</t>
  </si>
  <si>
    <t>berain_jean_(1640-1711) ; Girardon, François (1628-1715)</t>
  </si>
  <si>
    <t>ced818f7-81c6-4c40-bb90-a748b837aa09</t>
  </si>
  <si>
    <t>Marot, Daniel (1663?-1752)</t>
  </si>
  <si>
    <t>https://catalogue.bnf.fr/ark:/12148/cb41504295h</t>
  </si>
  <si>
    <t>DEUTSCH, Kristina, Jean Marot. Un graveur d'architecture à l'époque de Louis XIV, Berlin/Boston, De Gruyter, 2015,</t>
  </si>
  <si>
    <t>MG-1682-09b_242</t>
  </si>
  <si>
    <t>https://gallica.bnf.fr/ark:/12148/bpt6k1163382/f256.item</t>
  </si>
  <si>
    <t>[Neuf camées gravés]*</t>
  </si>
  <si>
    <t>[La Planche des Devises]</t>
  </si>
  <si>
    <t xml:space="preserve">emblèmes et devises ; personnification des vices et des vertus ; </t>
  </si>
  <si>
    <t xml:space="preserve">soleil ; étoile ; Fécondité (personnification) ; Invention (personnification) ; Hymen (personnification) ; Amour ; Arts (personnification) ; Sûreté des temps (personnification) ; Bonheur éternel (personnification) ; Vœux publics (personnification) ; dauphin ; mer ; miroir ; palme ; autel ; serpent ; rameau d'olivier ; nid ; oiseau ; globe ; nymphes ; colonne ; massue ; </t>
  </si>
  <si>
    <t>1682-09b_359</t>
  </si>
  <si>
    <t>https://gallica.bnf.fr/ark:/12148/bpt6k1163382/f371.item</t>
  </si>
  <si>
    <t>[Grenade, fruit couronné, figurant la Dauphine]*</t>
  </si>
  <si>
    <t>[La Planche qui représente une Grenade]</t>
  </si>
  <si>
    <t>grenade (végétal) ; piédestal</t>
  </si>
  <si>
    <t>Partu coronato triumphat</t>
  </si>
  <si>
    <t>1682-09e_151</t>
  </si>
  <si>
    <t>Planche Première</t>
  </si>
  <si>
    <t>[Plusieurs dessins d'optique]*</t>
  </si>
  <si>
    <t>[La premiere Planche]</t>
  </si>
  <si>
    <t>22,2 x 16 cm</t>
  </si>
  <si>
    <t>4d960afc-3dd9-4e0e-8a27-ede19c7c91aa</t>
  </si>
  <si>
    <t>comiers_claude_(-1693)</t>
  </si>
  <si>
    <t>Planche du Traité des lunettes dédié à Monsieur, Duc de Bourgogne, Par Mr Comiers d'Ambrun [...] [première partie].</t>
  </si>
  <si>
    <t>https://dictionnaire-journalistes.gazettes18e.fr/journaliste/189-claude-comiers
 SELMECI CASTIONI, Barbara, PASCHOUD, Adrien, « Le Mercure galant 
(1672-1710) : un jalon significatif sur la voie de l'encyclopédisme des 
Lumières », Recherches sur Diderot et sur l'Encyclopédie, n°51, 2016, 
mis en ligne le 25 novembre 2018. URL : 
http://journals.openedition.org/rde/5394 ; DOI : 
https://doi.org/10.4000/rde.5394</t>
  </si>
  <si>
    <t>1682-09e_226</t>
  </si>
  <si>
    <t xml:space="preserve">Seconde Planche </t>
  </si>
  <si>
    <t>[Dessins d'optique sur le fonctionnement d'une camera obscura]*</t>
  </si>
  <si>
    <t>[La seconde Planche]</t>
  </si>
  <si>
    <t>19,8 x 12,8 cm</t>
  </si>
  <si>
    <t xml:space="preserve">BnF, 8-LC2-33 ; BnF, Ars, 8-H-26484 (103) </t>
  </si>
  <si>
    <t>MG-1682-10a_209 manque p. 221-227</t>
  </si>
  <si>
    <t>https://gallica.bnf.fr/ark:/12148/bpt6k6517246j/f235.item</t>
  </si>
  <si>
    <t>La Conqueste de la Toison d'or Par les argonautes</t>
  </si>
  <si>
    <t>[Feu d'artifice donné à Toulouse pour la naissance du duc de Bourgogne]*</t>
  </si>
  <si>
    <t xml:space="preserve">453 : TOULOUSE </t>
  </si>
  <si>
    <t>décor éphémère ; mythologie gréco-romaine</t>
  </si>
  <si>
    <t xml:space="preserve">Jason ; argonautes ; feu d'artifice ; Jupiter ; Apollon ; Hercule ; foudre ; bouclier ; navire ; Thésée ; Castor ; Pollux ; Orphée ; Pirithoos ; Fortune (personnification) ; Zétès ; Calaïs ; Éétès ; Pallas ; </t>
  </si>
  <si>
    <t>cfdfacf6-e6ac-4ecd-a153-2ccf3b650c87</t>
  </si>
  <si>
    <t>bourgogne_louis_de_france_(1682-1712)_duc_de ;</t>
  </si>
  <si>
    <t>62104205-ccc3-4f31-bcf0-adf828ff0df1</t>
  </si>
  <si>
    <t>Lepautre, Jacques (ca.1653-1684)</t>
  </si>
  <si>
    <t>Sur l'estampe : "J. Le Pautre fecit".</t>
  </si>
  <si>
    <r>
      <rPr>
        <b/>
        <sz val="10"/>
        <color theme="1"/>
        <rFont val="Arial"/>
        <family val="2"/>
      </rPr>
      <t xml:space="preserve">PREAUD, Maxime, </t>
    </r>
    <r>
      <rPr>
        <b/>
        <i/>
        <sz val="10"/>
        <color theme="1"/>
        <rFont val="Arial"/>
        <family val="2"/>
      </rPr>
      <t>Inventaire du fonds français, graveurs du XVIIe siècle. Tome onzième, Première partie, Antoine Lepautre, Jacques Lepautre et Jean Lepautre</t>
    </r>
    <r>
      <rPr>
        <b/>
        <sz val="10"/>
        <color theme="1"/>
        <rFont val="Arial"/>
        <family val="2"/>
      </rPr>
      <t>, Paris, Bibliothèque Nationale.</t>
    </r>
  </si>
  <si>
    <t>1682-10b_170</t>
  </si>
  <si>
    <t>[Plan légendé du bombardement d'Alger par Duquesne]*</t>
  </si>
  <si>
    <t>[Le Plan d'Alger]</t>
  </si>
  <si>
    <t>1449 : ALGER</t>
  </si>
  <si>
    <t>bombe ; ville ; forteresse ; port</t>
  </si>
  <si>
    <t>https: ; / catalogue.bnf.fr ; ark: ; 12148 ; cb40750232w</t>
  </si>
  <si>
    <t>1682-10b_339</t>
  </si>
  <si>
    <t>MG-1682-10b_339</t>
  </si>
  <si>
    <t>Généalogie de Monseigneur le Dauphin et de Madame la Dauphine issus de Henry le Grand en pareil degré</t>
  </si>
  <si>
    <t>[Généalogie du duc de Bourgogne]*</t>
  </si>
  <si>
    <t>[La Généalogie]</t>
  </si>
  <si>
    <t>généalogie ; héraldique ; vie académique</t>
  </si>
  <si>
    <t>armoiries ; soleil ; médaille ; main ; écriture ;</t>
  </si>
  <si>
    <t>c33113ed-51d6-4b62-b3d4-c513a53f780e</t>
  </si>
  <si>
    <t>Doujat, Jean (1609 ca-1688)</t>
  </si>
  <si>
    <t>Sur l'estampe "R. Michault Scipsit". Jean Doujat auteur de la table généalogique. Voir l'article afférent à l'estampe.</t>
  </si>
  <si>
    <t>1682-11_140</t>
  </si>
  <si>
    <t>https://gallica.bnf.fr/ark:/12148/bpt6k115295d/f145.item</t>
  </si>
  <si>
    <t>[Poisson]*</t>
  </si>
  <si>
    <t>[La Figure du Poisson]</t>
  </si>
  <si>
    <t>755 : DANTZIG</t>
  </si>
  <si>
    <t>poisson (animal)</t>
  </si>
  <si>
    <t>8,2 x 24,2 cm</t>
  </si>
  <si>
    <t>1682-11_284</t>
  </si>
  <si>
    <t>https://gallica.bnf.fr/ark:/12148/bpt6k115295d/f295.item</t>
  </si>
  <si>
    <t>[Char des réjouissances de la province de Bourgogne pour la naissance du duc de Bourgogne]*</t>
  </si>
  <si>
    <t>[Le Char]</t>
  </si>
  <si>
    <t>1854 : GOUVERNEMENT DE BOURGOGNE</t>
  </si>
  <si>
    <t>décor éphémère ; héraldique ; objets décoratifs et d'apparat</t>
  </si>
  <si>
    <t>char ; cheval ; armoiries ; génie ; lance ; couronne</t>
  </si>
  <si>
    <t xml:space="preserve">bourgogne_louis_de_france_(1682-1712)_duc_de ; </t>
  </si>
  <si>
    <t>14,3 x 26, 9 cm</t>
  </si>
  <si>
    <t>https: ; / catalogue.bnf.fr ; ark: ; 12148 ; cb41504299w</t>
  </si>
  <si>
    <t>1682-12_190</t>
  </si>
  <si>
    <t>https://gallica.bnf.fr/ark:/12148/bpt6k115298j/f180.item</t>
  </si>
  <si>
    <t>[Météore apparu le 20 octobre 1682 au-dessus de la ville de Gérone]*</t>
  </si>
  <si>
    <t>[Le Méteore]</t>
  </si>
  <si>
    <t>820 : GÉRONE</t>
  </si>
  <si>
    <t>météore ; étoile</t>
  </si>
  <si>
    <t>https://gallica.bnf.fr/ark:/12148/bpt6k115298j/f201.item</t>
  </si>
  <si>
    <t>[Feu d'artifice donné à Châtillon-sur-Seine pour la naissance du duc de Bourgogne]*</t>
  </si>
  <si>
    <t>1876 : CHÂTILLON-SUR-SEINE</t>
  </si>
  <si>
    <t>décor éphémère ; personnification des vices et des vertus ; héraldique ; architecture ; sculpture</t>
  </si>
  <si>
    <t>feu d'artifice ; théâtre ; soleil ; Renommée (personnification) ; aigle ; lion (animal) ; statue ; piédestal ; palme ; armoiries ; Châtillon (personnification) ; clef ; Amour de la Paix (personnification) ; rameau d'olivier</t>
  </si>
  <si>
    <t>1682-12e_330</t>
  </si>
  <si>
    <t>Vista del Escurial par encima de la Montaña</t>
  </si>
  <si>
    <t>[Vue du palais de l'Escurial depuis le sommet d'une montagne]*</t>
  </si>
  <si>
    <t>[La Figure où est représentée la Veuë de l'Escurial]</t>
  </si>
  <si>
    <t>13,3 x 25,6 cm</t>
  </si>
  <si>
    <r>
      <rPr>
        <b/>
        <u/>
        <sz val="10"/>
        <color rgb="FF1155CC"/>
        <rFont val="Arial"/>
        <family val="2"/>
      </rPr>
      <t>Meunier, Louis (fl. 1630-1680)</t>
    </r>
    <r>
      <rPr>
        <b/>
        <sz val="10"/>
        <rFont val="Arial"/>
        <family val="2"/>
      </rPr>
      <t xml:space="preserve"> ; 83938</t>
    </r>
  </si>
  <si>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</si>
  <si>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 Sur l'estampe : "L meunier del et sculpsit a cugnac".</t>
    </r>
  </si>
  <si>
    <t>1683-01_258</t>
  </si>
  <si>
    <t xml:space="preserve">BnF, 8-Lc2-33  </t>
  </si>
  <si>
    <t>MG-1683-01_258</t>
  </si>
  <si>
    <t>https://gallica.bnf.fr/ark:/12148/bpt6k65172365/f273.item</t>
  </si>
  <si>
    <t>Jettons de l'année 1683</t>
  </si>
  <si>
    <t>[Jetons de l'année 1683]*</t>
  </si>
  <si>
    <t>[La Planche des Jetons]</t>
  </si>
  <si>
    <t>emblématique ; personnification des villes, des États et des fleuves ; mythologie gréco-romaine</t>
  </si>
  <si>
    <t>jetons ; soleil ; trophée ; fleuve, rivière, ruisseau ; port ; pièce d'artillerie ; autel ; Fleuve (personnification) ; lys ; navire ; mer ; bombe ; foudre ; Apollon ; lyre (antique) ; grenadier ; autel ; arme ; bélier (animal)</t>
  </si>
  <si>
    <t>Sur l'estampe : "Jacques le Pautre fecit."</t>
  </si>
  <si>
    <r>
      <rPr>
        <b/>
        <sz val="10"/>
        <color theme="1"/>
        <rFont val="Arial"/>
        <family val="2"/>
      </rPr>
      <t xml:space="preserve">PREAUD, Maxime, </t>
    </r>
    <r>
      <rPr>
        <b/>
        <i/>
        <sz val="10"/>
        <color theme="1"/>
        <rFont val="Arial"/>
        <family val="2"/>
      </rPr>
      <t>Inventaire du fonds français, graveurs du XVIIe siècle. Tome onzième, Première partie, Antoine Lepautre, Jacques Lepautre et Jean Lepautre</t>
    </r>
    <r>
      <rPr>
        <b/>
        <sz val="10"/>
        <color theme="1"/>
        <rFont val="Arial"/>
        <family val="2"/>
      </rPr>
      <t>, Paris, Bibliothèque Nationale.</t>
    </r>
  </si>
  <si>
    <t>1683-02_163</t>
  </si>
  <si>
    <t>https://gallica.bnf.fr/ark:/12148/bpt6k62251464/f173.item</t>
  </si>
  <si>
    <t>[Médaille : portrait de Marie-Anne-Christine-Victoire de Bavière]*</t>
  </si>
  <si>
    <t>[Le Portrait de Madame la Dauphine]</t>
  </si>
  <si>
    <t xml:space="preserve">aigle ; nid ; </t>
  </si>
  <si>
    <t>marie-anne-christine-victoire_de_baviere_(1660-1690)_dauphine ;</t>
  </si>
  <si>
    <t>12,4 x 7,4 cm</t>
  </si>
  <si>
    <t>62104205-ccc3-4f31-bcf0-adf828ff0df2</t>
  </si>
  <si>
    <t>Lepautre, Jacques (ca.1653-1684) ; 83908</t>
  </si>
  <si>
    <t>Sur l'estampe : "Jacq Lepautre".</t>
  </si>
  <si>
    <t>Ana. Maria. Christ. Delphina</t>
  </si>
  <si>
    <t>Prolem. Dat. Iove. Dignam [Exergue :] 1683</t>
  </si>
  <si>
    <r>
      <rPr>
        <b/>
        <sz val="10"/>
        <color theme="1"/>
        <rFont val="Arial"/>
        <family val="2"/>
      </rPr>
      <t xml:space="preserve">PREAUD, Maxime, </t>
    </r>
    <r>
      <rPr>
        <b/>
        <i/>
        <sz val="10"/>
        <color theme="1"/>
        <rFont val="Arial"/>
        <family val="2"/>
      </rPr>
      <t>Inventaire du fonds français, graveurs du XVIIe siècle. Tome onzième, Première partie, Antoine Lepautre, Jacques Lepautre et Jean Lepautre</t>
    </r>
    <r>
      <rPr>
        <b/>
        <sz val="10"/>
        <color theme="1"/>
        <rFont val="Arial"/>
        <family val="2"/>
      </rPr>
      <t>, Paris, Bibliothèque Nationale.</t>
    </r>
  </si>
  <si>
    <t>1683-02_227</t>
  </si>
  <si>
    <t>https://gallica.bnf.fr/ark:/12148/bpt6k62251464/f236.item</t>
  </si>
  <si>
    <t>[Enfants siamois nés le 7 janvier 1683 à Paris]*</t>
  </si>
  <si>
    <t>[La Figure des Enfans]</t>
  </si>
  <si>
    <t>2929 : Paris</t>
  </si>
  <si>
    <t>14,7 x 22 cm</t>
  </si>
  <si>
    <t>930aabf9-2503-4600-8183-2aa0f87c8ea9</t>
  </si>
  <si>
    <t>Compardel, Etienne (v. 1645-?)</t>
  </si>
  <si>
    <t>Sur l'estampe : "Jacques Lepautre." L'article afférent à l'estampe, "Lettre de Mr Comiers d'Ambrun, Professeur des Mathématiques à Paris", précise que les figures ont été "tirées au vif par Mr Compardel, un des plus excellents Peintres de Paris, &amp; qui réüssit aussi aux Portraits en Mignature."</t>
  </si>
  <si>
    <t>PREAUD, Maxime, Inventaire du fonds français, graveurs du XVIIe siècle. Tome onzième, Première partie, Antoine Lepautre, Jacques Lepautre et Jean Lepautre, Paris, Bibliothèque Nationale. https://dictionnaire-journalistes.gazettes18e.fr/journaliste/1 89-claude-comiers SELMECI CASTIONI, Barbara, PASCHOUD, Adrien, « Le Mercure galant (1672-1710) : un jalon significatif sur la voie de l'encyclopédisme des Lumières », Recherches sur Diderot et sur l'Encyclopédie, n°51, 2016, mis en ligne le 25 novembre 2018. URL : http://journals.openedition.org/rde/5394 ; DOI : https://doi.org/10.4000/rde.5394</t>
  </si>
  <si>
    <t>1683-03_164</t>
  </si>
  <si>
    <t>https://gallica.bnf.fr/ark:/12148/bpt6k65171963/f178.item</t>
  </si>
  <si>
    <t>Anémoscope</t>
  </si>
  <si>
    <t>[Anémoscope]*</t>
  </si>
  <si>
    <t>[L'Homme Artificiel Anemoscope]</t>
  </si>
  <si>
    <t>1117 : Magdebourg</t>
  </si>
  <si>
    <t>Planche illustrant l'ouvrage de Comiers "L'homme artificiel anemoscope, ou Prophete Physique des changemens du Temps".</t>
  </si>
  <si>
    <t>MG-1683-03_309</t>
  </si>
  <si>
    <t>https://gallica.bnf.fr/ark:/12148/bpt6k65171963/f332.item</t>
  </si>
  <si>
    <t>[Bal donné à Versailles]*</t>
  </si>
  <si>
    <t>[La Planche du Bal]</t>
  </si>
  <si>
    <t>décor architectural ; vie sociale</t>
  </si>
  <si>
    <t>bal</t>
  </si>
  <si>
    <t>Sur l'estampe : "J. Berin delin." ; "J. le Pautre S."</t>
  </si>
  <si>
    <t>https://gallica.bnf.fr/ark:/12148/btv1b84063518</t>
  </si>
  <si>
    <t>1683-03e_121</t>
  </si>
  <si>
    <t>Planche troisième</t>
  </si>
  <si>
    <t>[Planche contenant plusieurs schémas de lentilles]*</t>
  </si>
  <si>
    <t>[La Planche troisième]</t>
  </si>
  <si>
    <t>Bacchus ; nymphes ; enfant</t>
  </si>
  <si>
    <t>23,2 x 15,7 cm</t>
  </si>
  <si>
    <t>Planche du Traité des lunettes dédié à Monsieur, Duc de Bourgogne, Par Mr Comiers d'Ambrun [...]</t>
  </si>
  <si>
    <t>1683-03e_184</t>
  </si>
  <si>
    <t>L'ancienne et facile construction du binocle</t>
  </si>
  <si>
    <t>[L'autre Planche du Binocle]</t>
  </si>
  <si>
    <t>binocle</t>
  </si>
  <si>
    <t>24,7 x 17,2 cm</t>
  </si>
  <si>
    <t>94c6061e-4436-4f3e-9743-7d5f540525f4</t>
  </si>
  <si>
    <t>D. Chores</t>
  </si>
  <si>
    <t>Sur l'estampe : "Les admirables Lunettes d'approche reduites en petit volume avec leur vray visage et leur utilitez preferables aux grandes, et le moyen de les accommoder à l'endroit des deux yeux : le tout mis en pratique ainsi qu'elles sont representées par les Figures suivantes, dedié au Roy, l'an 1625. par D. Chorez."</t>
  </si>
  <si>
    <t>1683-04_159</t>
  </si>
  <si>
    <t>MG-1683-04_159</t>
  </si>
  <si>
    <t>https://gallica.bnf.fr/ark:/12148/bpt6k6248305c/f172.item</t>
  </si>
  <si>
    <t>[Mascarade "La Noce de village" organisée par le dauphin à Versailles pour le carnaval]*</t>
  </si>
  <si>
    <t>[La Figure]</t>
  </si>
  <si>
    <t>vie sociale</t>
  </si>
  <si>
    <t>mascarade ; palais</t>
  </si>
  <si>
    <t>Sur l'estampe : "J. Berin in." ; "Ja. le Pautre Sculp."</t>
  </si>
  <si>
    <t>https://gallica.bnf.fr/ark:/12148/btv1b8406352p</t>
  </si>
  <si>
    <t>1683-05_044</t>
  </si>
  <si>
    <t>MG-1683-05_044</t>
  </si>
  <si>
    <t>https://gallica.bnf.fr/ark:/12148/btv1b8406333b#</t>
  </si>
  <si>
    <t>Première des cinq gondoles qui ont servi à l'arrivée de M. Amelot, ambassadeur de France à Venise</t>
  </si>
  <si>
    <t>[Réception de M. Amelot, ambassadeur de France à Venise]*</t>
  </si>
  <si>
    <t>[La Gondole]</t>
  </si>
  <si>
    <t xml:space="preserve">1762 : RÉPUBLIQUE DE VENISE </t>
  </si>
  <si>
    <t>objets décoratifs et d'apparat ; personnification des vices et des vertus ; emblématique</t>
  </si>
  <si>
    <t>gondole ; Justice (personnification) ; Paix (personnification) ; soleil ; Fidélité (personnification) ; Vigilance (personnification) ; Arts (personnification) ; Abondance (personnification) ; Secret (personnification) ; Éloquence (personnification) ; balance ; épée ; bouclier ; chien ; coq ; trophée ; armoiries ; génie ; dragon ; navire ; mer</t>
  </si>
  <si>
    <t>0ee5ff73-da47-4046-9955-feda78d149b3</t>
  </si>
  <si>
    <t>gouvray_abraham-nicolas_amelot_de_la_houssaye_(1634-1709)_comte_de ;</t>
  </si>
  <si>
    <t>Lepautre, Jacques (ca.1653-1684) ; 83909</t>
  </si>
  <si>
    <t>Sur l'estampe : "Ja. le Pautre fecit".</t>
  </si>
  <si>
    <t>https: ; / catalogue.bnf.fr ; ark: ; 12148 ; cb41504311x</t>
  </si>
  <si>
    <t>1683-06_181</t>
  </si>
  <si>
    <t>https://gallica.bnf.fr/ark:/12148/bpt6k62208141/f199.item</t>
  </si>
  <si>
    <t>[Médaille : portrait d'Henri de La Tour d'Auvergne, vicomte de Turenne]*</t>
  </si>
  <si>
    <t>[Le Portrait de Mr de Turenne]</t>
  </si>
  <si>
    <t xml:space="preserve">médaille ; foudre ; chêne ; </t>
  </si>
  <si>
    <t>eda2648c-f3be-4fed-8eac-e2f5dbefd255</t>
  </si>
  <si>
    <t xml:space="preserve">Turenne, Henri de la Tour d'Avergne [1611-1675], vicomte de ; 83940 ; </t>
  </si>
  <si>
    <t>Henr. De. Latour.D'Auvergne. Princ.Vicec. De. Turenne</t>
  </si>
  <si>
    <t>Non. Lauri .Mille. Tuentur</t>
  </si>
  <si>
    <t>1683-06_299</t>
  </si>
  <si>
    <t>https://gallica.bnf.fr/ark:/12148/bpt6k62208141/f319.item</t>
  </si>
  <si>
    <t xml:space="preserve">Ordre de bataille des troupes qui campent sur la Riviere de Saône </t>
  </si>
  <si>
    <t>[Campement des armées royales]*</t>
  </si>
  <si>
    <t>[L'Ordre de Bataille]</t>
  </si>
  <si>
    <t xml:space="preserve">296917 : BELLEGARDE </t>
  </si>
  <si>
    <t>vie militaire</t>
  </si>
  <si>
    <t>listes et descriptions militaires</t>
  </si>
  <si>
    <t>BNF, Ars, 8-H- 26484 (113)</t>
  </si>
  <si>
    <t>https://dictionnaire-journalistes.gazettes18e.fr/journaliste/189-claude-comiers SELMECI CASTIONI, Barbara, PASCHOUD, Adrien, « Le Mercure galant (1672-1710) : un jalon significatif sur la voie de l'encyclopédisme des Lumières », Recherches sur Diderot et sur l'Encyclopédie, n°51, 2016, mis en ligne le 25 novembre 2018. URL : http://journals.openedition.org/rde/5394 ; DOI : https://doi.org/10.4000/rde.5394</t>
  </si>
  <si>
    <t>1683-07_162</t>
  </si>
  <si>
    <t>https://gallica.bnf.fr/ark:/12148/bpt6k62253818/f169.item</t>
  </si>
  <si>
    <t>La Plaça Mayor de la Ciudad de Cadix</t>
  </si>
  <si>
    <t>[Vue de la grand-place de Cadix]*</t>
  </si>
  <si>
    <t>[Le Veuë de la grande Place de Séville]</t>
  </si>
  <si>
    <t>858 : CADIX</t>
  </si>
  <si>
    <t xml:space="preserve">place ; fontaine ; cheval ; </t>
  </si>
  <si>
    <r>
      <rPr>
        <b/>
        <u/>
        <sz val="10"/>
        <color rgb="FF1155CC"/>
        <rFont val="Arial"/>
        <family val="2"/>
      </rPr>
      <t>Meunier, Louis (fl. 1630-1680)</t>
    </r>
    <r>
      <rPr>
        <b/>
        <sz val="10"/>
        <rFont val="Arial"/>
        <family val="2"/>
      </rPr>
      <t xml:space="preserve"> ;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</si>
  <si>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</si>
  <si>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1683-07_306</t>
  </si>
  <si>
    <t>https://gallica.bnf.fr/ark:/12148/bpt6k62253818/f315.item</t>
  </si>
  <si>
    <t>La ville d'Alger</t>
  </si>
  <si>
    <t>[Plan légendé du bombardement d'Alger]*</t>
  </si>
  <si>
    <t>[L'attaque d'Alger]</t>
  </si>
  <si>
    <t>forteresse ; port ; ville ; combat naval ; mer ; bombe</t>
  </si>
  <si>
    <t>1683-08_272</t>
  </si>
  <si>
    <t>https://gallica.bnf.fr/ark:/12148/bpt6k62259531/f284.item</t>
  </si>
  <si>
    <t>Ville de Vienne</t>
  </si>
  <si>
    <t>[Plan légendé de la ville de Vienne]*</t>
  </si>
  <si>
    <t>[Le Plan de la Ville de Vienne]</t>
  </si>
  <si>
    <t>1088 : VIENNE</t>
  </si>
  <si>
    <t>ville ; forteresse ; fleuve, rivière, ruisseau ; église ; île</t>
  </si>
  <si>
    <t>20 x 27,6 cm</t>
  </si>
  <si>
    <t>1683-08_354</t>
  </si>
  <si>
    <t>https://gallica.bnf.fr/ark:/12148/bpt6k62259531/f365.item</t>
  </si>
  <si>
    <t>[Portrait de Marie-Thérèse d'Autriche]*</t>
  </si>
  <si>
    <t>[Le Portrait de la Reyne]</t>
  </si>
  <si>
    <t>150609b0-395c-4f8f-9106-a04633980e65</t>
  </si>
  <si>
    <t>marie-therese_(1638-1683)_reine_de_france</t>
  </si>
  <si>
    <t>Sur l'estampe : "Jacob. Le pautre f."</t>
  </si>
  <si>
    <t>Mar. Ther. D. G. Fr. Et. Nav. Reg.</t>
  </si>
  <si>
    <t>1683-09_198</t>
  </si>
  <si>
    <t>https://gallica.bnf.fr/ark:/12148/bpt6k6228012x/f206.item</t>
  </si>
  <si>
    <t>[Figures découvertes dans les entrailles d'un mouton par un boucher à Marni]*</t>
  </si>
  <si>
    <t>[La Figure du Mouton]</t>
  </si>
  <si>
    <t>1623 : ÉTATS ITALIENS</t>
  </si>
  <si>
    <t xml:space="preserve">zoologie ; anatomie animale ; </t>
  </si>
  <si>
    <t>mouton ; couteau ; tour</t>
  </si>
  <si>
    <t>12,8 x 6,7 cm</t>
  </si>
  <si>
    <t>1683-09_286</t>
  </si>
  <si>
    <t>https://gallica.bnf.fr/ark:/12148/bpt6k6228012x/f294.item</t>
  </si>
  <si>
    <t>[Plan de la pompe funèbre de la reine dans la basilique royale de Saint-Denis]*</t>
  </si>
  <si>
    <t>[Le Plan]</t>
  </si>
  <si>
    <t>275601 : SAINT-DENIS-EN-FRANCE, Basilique royale Saint-Denis</t>
  </si>
  <si>
    <t>deuil ; décor éphémère</t>
  </si>
  <si>
    <t>église</t>
  </si>
  <si>
    <t>plan de bâtiment ;</t>
  </si>
  <si>
    <t>21,4 x 35,4 cm</t>
  </si>
  <si>
    <t>1683-09_386</t>
  </si>
  <si>
    <t>https://gallica.bnf.fr/ark:/12148/bpt6k6228012x/f396.item</t>
  </si>
  <si>
    <t>[Rats aux queues entremêlées, dits roi-de-rats découverts à Strasbourg]*</t>
  </si>
  <si>
    <t>[La Figure des Rats]</t>
  </si>
  <si>
    <t>1851 : Strasbourg</t>
  </si>
  <si>
    <t xml:space="preserve">zoologie </t>
  </si>
  <si>
    <t>rat</t>
  </si>
  <si>
    <t>12,8 x 6,8 cm</t>
  </si>
  <si>
    <t>1683-09e_207</t>
  </si>
  <si>
    <t>Livrée BNF le 25/2/22</t>
  </si>
  <si>
    <t>Palais Royal de Tolède</t>
  </si>
  <si>
    <t>[Vue du palais royal de Tolède]*</t>
  </si>
  <si>
    <t>[La Veuë du Palais Royal de Toled]</t>
  </si>
  <si>
    <t>809 : TOLÈDE</t>
  </si>
  <si>
    <t>palais ; montagne ; ville</t>
  </si>
  <si>
    <t>10,2 x 21,4 cm</t>
  </si>
  <si>
    <r>
      <rPr>
        <b/>
        <u/>
        <sz val="10"/>
        <color rgb="FF1155CC"/>
        <rFont val="Arial"/>
        <family val="2"/>
      </rPr>
      <t xml:space="preserve">Meunier, Louis (fl. 1630-1680) </t>
    </r>
    <r>
      <rPr>
        <b/>
        <sz val="10"/>
        <rFont val="Arial"/>
        <family val="2"/>
      </rPr>
      <t>; 83938</t>
    </r>
  </si>
  <si>
    <r>
      <rPr>
        <b/>
        <sz val="10"/>
        <color theme="1"/>
        <rFont val="Arial"/>
        <family val="2"/>
      </rPr>
      <t>D'après une gravure de L. Meunier rattachée à une suite d'est</t>
    </r>
    <r>
      <rPr>
        <b/>
        <i/>
        <sz val="10"/>
        <color theme="1"/>
        <rFont val="Arial"/>
        <family val="2"/>
      </rPr>
      <t xml:space="preserve">ampes intitulée Diversas vistas differentes veues des palais et Jardins de Plaisance des Rois despagne </t>
    </r>
    <r>
      <rPr>
        <b/>
        <sz val="10"/>
        <color theme="1"/>
        <rFont val="Arial"/>
        <family val="2"/>
      </rPr>
      <t>dedie a la Reine (n. d.).</t>
    </r>
  </si>
  <si>
    <t>1683-10a_052</t>
  </si>
  <si>
    <t>https://gallica.bnf.fr/ark:/12148/bpt6k6222754t/f65.item</t>
  </si>
  <si>
    <t>[Mausolée de Marie-Thérèse d'Autriche, épouse de Louis XIV dressé à Aix-en-Provence]*</t>
  </si>
  <si>
    <t>[Le Mausolée marqué A]</t>
  </si>
  <si>
    <t>2635 : AIX</t>
  </si>
  <si>
    <t>deuil ; architecture ; héraldique ; sculpture</t>
  </si>
  <si>
    <t>mausolée ; Renommée (personnification) ; génie ; armoiries</t>
  </si>
  <si>
    <t>marie-therese_(1638-1683)_reine_de_france ;</t>
  </si>
  <si>
    <t>Article incomplet MG-1683-10a_143</t>
  </si>
  <si>
    <t>https://gallica.bnf.fr/ark:/12148/bpt6k6222754t/f171.item</t>
  </si>
  <si>
    <t>[Second mausolée de Marie-Thérèse d'Autriche, épouse de Louis XIV, dressé à Avignon]*</t>
  </si>
  <si>
    <t>[Le Mausolée marqué B]</t>
  </si>
  <si>
    <t>294197 : AVIGNON [Comtat venaissin], Monastère des Célestins, église</t>
  </si>
  <si>
    <t>deuil ; héraldique ; architecture ; sculpture ;</t>
  </si>
  <si>
    <t>mausolée ; armoiries</t>
  </si>
  <si>
    <t xml:space="preserve">PÉAN, Anne, "Les décors des pompes funèbres en France 1643-1683 : naissance d'un genre", dans BOUVIER, Béatrice, CHÂTELET, Anne-Marie, CREST, Sabine du, et al., Actes du Ve congrès national d'archéologie et d'histoire de l'art, Bordeaux, Publications de l'Institut national d'histoire de l'art, 1999. Disponible sur Internet : http://books.openedition.org/inha/2467 </t>
  </si>
  <si>
    <t>1683-10b_001</t>
  </si>
  <si>
    <t>[Portrait d'Ernst-Rüdiger von Starhemberg]*</t>
  </si>
  <si>
    <t>[Le Portrait du Comte de Statemberg]</t>
  </si>
  <si>
    <t>généalogie ;</t>
  </si>
  <si>
    <t>6cada961-c534-4700-b6c2-c62230640ce9</t>
  </si>
  <si>
    <t>Starhemberg, Ernst Rüdiger von [1638-1701] ; 84008</t>
  </si>
  <si>
    <t>Sur l'estampe : "Jacques le Pautre Sculp."</t>
  </si>
  <si>
    <t>1683-10b_324</t>
  </si>
  <si>
    <t xml:space="preserve">Disegno dello Stendardo del Primo Visir levato sotto Vienna </t>
  </si>
  <si>
    <t>[Etendard et sa description en italien]*</t>
  </si>
  <si>
    <t>[La Figure de l'Etendard]</t>
  </si>
  <si>
    <t>héraldique ; objets décoratifs et d'apparat</t>
  </si>
  <si>
    <t>drapeau ou étendard ; croissant ; texte en arabe</t>
  </si>
  <si>
    <r>
      <rPr>
        <b/>
        <sz val="10"/>
        <color theme="1"/>
        <rFont val="Arial"/>
        <family val="2"/>
      </rPr>
      <t xml:space="preserve">D'après une estampe italienne : </t>
    </r>
    <r>
      <rPr>
        <b/>
        <sz val="10"/>
        <color rgb="FFFF00FF"/>
        <rFont val="Arial"/>
        <family val="2"/>
      </rPr>
      <t>Ludovico Maracci, Disegno dello standardo</t>
    </r>
  </si>
  <si>
    <t xml:space="preserve">Cécile D'Albis, « L'écho d'un événement international : les thématiques des textes qui circulent au moment du second siège de Vienne (1683) », Revue de l'IFHA, n°5, 2013. URL : http://journals.openedition.org/ifha/7422 ; DOI : https://doi.org/10.4000/ifha.7422 </t>
  </si>
  <si>
    <t>1683-11_091</t>
  </si>
  <si>
    <t>https://gallica.bnf.fr/ark:/12148/bpt6k6517197h/f109.item</t>
  </si>
  <si>
    <t>[Mausolée de la reine Marie-Thérèse d'Autriche]*</t>
  </si>
  <si>
    <r>
      <rPr>
        <b/>
        <sz val="11"/>
        <color theme="1"/>
        <rFont val="Courier New"/>
        <family val="1"/>
      </rPr>
      <t xml:space="preserve">2936 : PARIS, </t>
    </r>
    <r>
      <rPr>
        <b/>
        <sz val="11"/>
        <color theme="1"/>
        <rFont val="Courier New"/>
        <family val="1"/>
      </rPr>
      <t>Abbaye mauriste Saint-Germain-des-Prés</t>
    </r>
  </si>
  <si>
    <t>deuil ; personnification des vices et des vertus ; architecture ; sculpture</t>
  </si>
  <si>
    <t>mausolée ; piédestal ; Paix (personnification) ; Espérance (personnification) ; Soumission (personnification) ; Religion (personnification) ; Histoire (personnification) ; Force (personnification) ; Charité (personnification)</t>
  </si>
  <si>
    <t>Sur l'estampe : "Le Pautre f."</t>
  </si>
  <si>
    <t>1683-11_227</t>
  </si>
  <si>
    <t>https://gallica.bnf.fr/ark:/12148/bpt6k6517197h/f244.item</t>
  </si>
  <si>
    <t>Courtray</t>
  </si>
  <si>
    <t>[Vue de la ville de Courtrai et de ses fortfications]*</t>
  </si>
  <si>
    <t>[La Ville de Courtray]</t>
  </si>
  <si>
    <r>
      <rPr>
        <b/>
        <u/>
        <sz val="9"/>
        <color rgb="FF1155CC"/>
        <rFont val="Arial"/>
        <family val="2"/>
      </rPr>
      <t>297471</t>
    </r>
    <r>
      <rPr>
        <b/>
        <sz val="9"/>
        <rFont val="Arial"/>
        <family val="2"/>
      </rPr>
      <t xml:space="preserve"> = COURTRAI </t>
    </r>
  </si>
  <si>
    <t>forteresse ; ville ; église ; moulin ; champ</t>
  </si>
  <si>
    <t>MG-1683-12_073</t>
  </si>
  <si>
    <t>https://gallica.bnf.fr/ark:/12148/bpt6k6229737g/f90.item</t>
  </si>
  <si>
    <t>[Grelot et son cordon accompagné d'un texte explicatif en caractères hébreux]*</t>
  </si>
  <si>
    <t>[La Figure où est le Grelot &amp; l'Hebreu]</t>
  </si>
  <si>
    <t>objets décoratifs et d'apparat</t>
  </si>
  <si>
    <t>grelot ; texte en hébreu</t>
  </si>
  <si>
    <t>1683-12_264</t>
  </si>
  <si>
    <t>https://gallica.bnf.fr/ark:/12148/bpt6k6229737g/f284.item</t>
  </si>
  <si>
    <t>[Médaille : portrait du roi Jean III Sobieski]*</t>
  </si>
  <si>
    <t>[Le Portrait du Roy de Pologne]</t>
  </si>
  <si>
    <t xml:space="preserve">palmier ; olivier ; bouclier ; armoiries ; </t>
  </si>
  <si>
    <t>Joan. III. Rex. Et maria cas. Reg.</t>
  </si>
  <si>
    <t>Tuetur olivam. Palma parit scutumque, corona</t>
  </si>
  <si>
    <t xml:space="preserve">BNF, Ars, 8- H- 26484 (122) </t>
  </si>
  <si>
    <t>Planche V</t>
  </si>
  <si>
    <t>[Planche d'outils d'optique pour le Dessin]*</t>
  </si>
  <si>
    <t>[La Planche marquée V]</t>
  </si>
  <si>
    <t>MG-1684-01_040</t>
  </si>
  <si>
    <t>https://gallica.bnf.fr/ark:/12148/bpt6k6227446s/f81.item</t>
  </si>
  <si>
    <t>[Revers d'une médaille frappée à la demande de Louvois pour l'Académie des Beaux-Arts]*</t>
  </si>
  <si>
    <t>[La grande Médaille]</t>
  </si>
  <si>
    <t>academie_de_peinture_et_de_sculpture</t>
  </si>
  <si>
    <t>emblématique ; mythologie gréco-romaine ; vie académique</t>
  </si>
  <si>
    <t xml:space="preserve">médaille ; Minerve ; bouclier ; lance ; Méduse ; </t>
  </si>
  <si>
    <t>Pugnat et excitat artes [Elle lutte et encourage les Arts.]</t>
  </si>
  <si>
    <t>1684-01_312</t>
  </si>
  <si>
    <t>https://gallica.bnf.fr/ark:/12148/bpt6k6227446s/f329.item</t>
  </si>
  <si>
    <t>[Pape Innocent XI]*</t>
  </si>
  <si>
    <t>[Le Portrait du Pape]</t>
  </si>
  <si>
    <t>pape ; médaille</t>
  </si>
  <si>
    <t>bc60a506-a9a7-488e-b45a-dcb07a2167e6</t>
  </si>
  <si>
    <t xml:space="preserve">odescalchi_benedetto_(1611-1689) ; </t>
  </si>
  <si>
    <t>Innocentius. XI. Odescalchus Pon: M:</t>
  </si>
  <si>
    <t>Dextera domini percussit inimicum</t>
  </si>
  <si>
    <t>1684-02_362</t>
  </si>
  <si>
    <t>https://gallica.bnf.fr/ark:/12148/bpt6k6219071t/f376.item</t>
  </si>
  <si>
    <t>Jettons de l'année 1684</t>
  </si>
  <si>
    <t>[Jetons de l'année 1684]*</t>
  </si>
  <si>
    <t>2718 : CAMBRAY</t>
  </si>
  <si>
    <t>jetons ; soleil ; foudre ; navire ; porc-épic ; caducée ; diamant ; gémeaux ; mer ; Vents ; armée navale ; aigle ; forteresse ; ville ; citadelle ; fleuve, rivière, ruisseau ; piédestal ; aqueduc ; machine de Marly</t>
  </si>
  <si>
    <t>102ec3e7-5789-45da-969c-a46ec73c5a72</t>
  </si>
  <si>
    <t>Dolivar, Jean (1632-1692) ; 83872</t>
  </si>
  <si>
    <t>Sur l'estampe : "Dolivar Sculp".</t>
  </si>
  <si>
    <t>F-Pm 8° 33890-144</t>
  </si>
  <si>
    <t>MG-1684-03_067</t>
  </si>
  <si>
    <t>Numéro pas disponible dans Gallica au 19/01/22</t>
  </si>
  <si>
    <t>Alliances symboliques de Mr. le Duc de St. Aignan</t>
  </si>
  <si>
    <t>[Figure avec les armoiries du duc de Saint-Aignan au centre, entourées de médailles accompagnées d'un texte]*</t>
  </si>
  <si>
    <t>[La Figure des Alliances Simboliques de M. le Duc de S. Aignan]</t>
  </si>
  <si>
    <t>armoiries ; lion (animal) ; soleil ; globe ; piédestal ; étoile ; aigle ; médaille ; anneau ; merlette ; autel ; lys ; globe terrestre ; cuirasse ; bouclier ; sabre</t>
  </si>
  <si>
    <t>c2b81a9a-d470-40e8-8c61-7f6919cb0e60</t>
  </si>
  <si>
    <t>saint-aignan_françois_de_beauvillier_(1610-1687)_duc_de ;</t>
  </si>
  <si>
    <t>Dolivar, Jean (1632-1692) ; 83872 / Michault, René (fl. 1666-1684) ; 83978 (graveur en lettres)</t>
  </si>
  <si>
    <t>Sur l'estampe : "Dolivar Sculpsit" ; R. Michault Scripsit".</t>
  </si>
  <si>
    <t>1684-03e_187</t>
  </si>
  <si>
    <t>https://gallica.bnf.fr/ark:/12148/bpt6k6541217s/f192.item</t>
  </si>
  <si>
    <t>Planche sixième</t>
  </si>
  <si>
    <t>[Dessins d'optique]*</t>
  </si>
  <si>
    <t>[La Planche VI estant déployée]</t>
  </si>
  <si>
    <t>1684-04_045</t>
  </si>
  <si>
    <t>BnF, Ars, 8-H-26484(129)</t>
  </si>
  <si>
    <t>Carte du Chemin d'Amour</t>
  </si>
  <si>
    <t>[Carte de galanterie : le chemin d'Amour]*</t>
  </si>
  <si>
    <t>[La Carte du Chemin d'Amour]</t>
  </si>
  <si>
    <t>allégorie amoureuse ; cartes allégoriques et de galanterie</t>
  </si>
  <si>
    <t>montagne ; fleuve, rivière, ruisseau ; fontaine ; île</t>
  </si>
  <si>
    <t>1684-05_241</t>
  </si>
  <si>
    <t>https://gallica.bnf.fr/ark:/12148/bpt6k62182375/f253.item</t>
  </si>
  <si>
    <t>[Plan du camp de Condé avec les noms des lieutenants et des généraux]*</t>
  </si>
  <si>
    <t>[Le Camp de Condé]</t>
  </si>
  <si>
    <t>275851 : CONDÉ</t>
  </si>
  <si>
    <t xml:space="preserve">camp militaire ; ville ; forteresse ; armée ; </t>
  </si>
  <si>
    <t>1684-05_374</t>
  </si>
  <si>
    <t>https://gallica.bnf.fr/ark:/12148/bpt6k62182375/f386.item</t>
  </si>
  <si>
    <t>Plan de Luxembourg</t>
  </si>
  <si>
    <t>[Plan légendé de la ville de Luxembourg]*</t>
  </si>
  <si>
    <t>[Le Plan de Luxembourg]</t>
  </si>
  <si>
    <t>1070 : LUXEMBOURG</t>
  </si>
  <si>
    <t>forteresse ; fleuve, rivière, ruisseau</t>
  </si>
  <si>
    <t>https://gallica.bnf.fr/ark:/12148/bpt6k6229042c/f146.item</t>
  </si>
  <si>
    <t>Camp de Thulin et de Bossut</t>
  </si>
  <si>
    <t>[Plan des camps de Thulin et de Bossut]*</t>
  </si>
  <si>
    <t>[Le Camp de Thulin]</t>
  </si>
  <si>
    <t>297649 : THULIN ; eb52b429-7c9e-4e41-8cc0-c39b241c1ebf : BOSSU</t>
  </si>
  <si>
    <t xml:space="preserve">camp militaire ; pièce d'artillerie ; ville ; fleuve, rivière, ruisseau ; église ; château ; citadelle ; forteresse ; </t>
  </si>
  <si>
    <t>19,2 x 50,3 cm</t>
  </si>
  <si>
    <t>1684-06b_385</t>
  </si>
  <si>
    <t xml:space="preserve">BnF, 8-LC2-33 </t>
  </si>
  <si>
    <t>Numéro pas disponible dans Gallica au 21 ; 05 ; 21</t>
  </si>
  <si>
    <t>Luxembourg</t>
  </si>
  <si>
    <t>[Vue de la ville de Luxembourg]*`</t>
  </si>
  <si>
    <r>
      <rPr>
        <b/>
        <sz val="10"/>
        <color rgb="FF00000A"/>
        <rFont val="Roboto"/>
      </rPr>
      <t>[</t>
    </r>
    <r>
      <rPr>
        <b/>
        <sz val="10"/>
        <color rgb="FF00000A"/>
        <rFont val="Roboto"/>
      </rPr>
      <t>La Planche</t>
    </r>
    <r>
      <rPr>
        <b/>
        <sz val="10"/>
        <color rgb="FF00000A"/>
        <rFont val="Roboto"/>
      </rPr>
      <t>]</t>
    </r>
  </si>
  <si>
    <t xml:space="preserve">forteresse ; cheval ; église ; pont ; fleuve, rivière, ruisseau ; </t>
  </si>
  <si>
    <t>11 x 15,2 cm</t>
  </si>
  <si>
    <t>1684-06c_257</t>
  </si>
  <si>
    <t>Vue de la Ville et Faubourgs de Gênes du costé de la Mer avec la disposition du mouillage de l'Armée le 20. mai 1684</t>
  </si>
  <si>
    <t>[Vue légendée de la ville de Gênes avec la disposition de la flotte française]*</t>
  </si>
  <si>
    <t>[Le Profil de Gênes, avec la disposition de l'Armée Navale]</t>
  </si>
  <si>
    <t>1755 : GÊNES</t>
  </si>
  <si>
    <t>ville ; port ; mer ; armée navale ; combat naval ; pièce d'artillerie ; bombardement ; drapeau ou étendard</t>
  </si>
  <si>
    <t>19,5  x 58 cm</t>
  </si>
  <si>
    <t>Sur l'estampe : "Dolivar Sculpsit".</t>
  </si>
  <si>
    <t>https://catalogue.bnf.fr/ark:/12148/cb40757380q</t>
  </si>
  <si>
    <t>1684-06e_162</t>
  </si>
  <si>
    <t>Planche VII</t>
  </si>
  <si>
    <t>[La Figure estant déployée]</t>
  </si>
  <si>
    <t>1684-07_138</t>
  </si>
  <si>
    <t>https://gallica.bnf.fr/ark:/12148/btv1b8407312g</t>
  </si>
  <si>
    <t xml:space="preserve">Statue érigée à la gloire du Roi Par Messieurs de la Ville du Havre </t>
  </si>
  <si>
    <t>[Statue érigée à la gloire du roi au Havre]*</t>
  </si>
  <si>
    <t>[La Figure « Statue érigée à la gloire du Roy »]</t>
  </si>
  <si>
    <t>emblématique ; sculpture ; personnification des vices et des vertus</t>
  </si>
  <si>
    <t>statue ; piédestal ; fontaine ; Religion (personnification) ; Justice (personnification) ; Générosité (personnification) ;  aigle ; lion (animal)</t>
  </si>
  <si>
    <t>https://catalogue.bnf.fr/ark:/12148/cb41505349v</t>
  </si>
  <si>
    <t>1684-07_312</t>
  </si>
  <si>
    <t xml:space="preserve">Camp de Lessine </t>
  </si>
  <si>
    <t>[Plan du camp de Lessine]*</t>
  </si>
  <si>
    <t>[Le Camp de Lessine]</t>
  </si>
  <si>
    <t>297627 : LESSINES</t>
  </si>
  <si>
    <t>1684-08_114</t>
  </si>
  <si>
    <t>https://gallica.bnf.fr/ark:/12148/bpt6k62591006/f121.item</t>
  </si>
  <si>
    <t>[Mausolée de la Reine Marie-Thérèse d'Autriche]*</t>
  </si>
  <si>
    <t xml:space="preserve">275601 : SAINT-DENIS-EN-FRANCE, Basilique royale Saint-Denis </t>
  </si>
  <si>
    <t>Sur l'estampe : "Dolivar f."</t>
  </si>
  <si>
    <t>1684-09_197</t>
  </si>
  <si>
    <t>https://gallica.bnf.fr/ark:/12148/bpt6k6218225z/f218.item</t>
  </si>
  <si>
    <t>[Position des armées lors du siège de Sainte-Maure]*</t>
  </si>
  <si>
    <t>[La Feüille Italienne]</t>
  </si>
  <si>
    <t>1501 : SAINTE-MAURE (île de)</t>
  </si>
  <si>
    <t>1684-09e_212</t>
  </si>
  <si>
    <t>https://gallica.bnf.fr/ark:/12148/bpt6k6373775x/f220.item</t>
  </si>
  <si>
    <t>Planche VIII</t>
  </si>
  <si>
    <t>[Dessins d'optique illustrant le Traité des lunettes de Comiers]*</t>
  </si>
  <si>
    <t>[La Planche VIII estant déployée]</t>
  </si>
  <si>
    <t>1684-10_128</t>
  </si>
  <si>
    <t>MG-1684-10_128</t>
  </si>
  <si>
    <t>https://gallica.bnf.fr/ark:/12148/bpt6k6222729r/f140.item</t>
  </si>
  <si>
    <t>Pour Monseigneur le Duc de Bourgogne, Alphabets des Langues Orientales</t>
  </si>
  <si>
    <t>[Alphabet des langues orientales que Claude Comiers a fait graver pour le duc de Bourgogne]*</t>
  </si>
  <si>
    <t>[La Planche des Alphabets]</t>
  </si>
  <si>
    <t>alphabets et écritures codées ; philologie</t>
  </si>
  <si>
    <t>texte en arabe ; texte en hébreu</t>
  </si>
  <si>
    <t>1684-11_266</t>
  </si>
  <si>
    <t>https://gallica.bnf.fr/ark:/12148/bpt6k6221689c/f282.item</t>
  </si>
  <si>
    <t>Plan du chasteau de Bude</t>
  </si>
  <si>
    <t>[Plan légendé de la citadelle de Budapest]*</t>
  </si>
  <si>
    <t>[Le Plan de Bude]</t>
  </si>
  <si>
    <t>1261 : BUDAPEST</t>
  </si>
  <si>
    <t>forteresse ; pièce d'artillerie ; fleuve, rivière, ruisseau ; ville</t>
  </si>
  <si>
    <t>21,8 x 32,9 cm</t>
  </si>
  <si>
    <t>1684-12_221</t>
  </si>
  <si>
    <t>BnF, Ars, 8-H-26484(141)</t>
  </si>
  <si>
    <t>https://gallica.bnf.fr/ark:/12148/bpt6k62275998/f250.item</t>
  </si>
  <si>
    <t>[Figure du monstre vue par un seigneur à Belgrade la nuit avant la levée du siège de Vienne]*</t>
  </si>
  <si>
    <t xml:space="preserve">monstre ; mer ; marteau ; croissant ; drapeau ou étendard ; navire </t>
  </si>
  <si>
    <t>1684-12e_214</t>
  </si>
  <si>
    <t>Planche IX</t>
  </si>
  <si>
    <t>[La Planche IX estant déployée]</t>
  </si>
  <si>
    <t>1685-01_048</t>
  </si>
  <si>
    <t>Description des attaques de Previsa</t>
  </si>
  <si>
    <t>[Vue légendée de l'île de Sainte-Maure]*</t>
  </si>
  <si>
    <t>[Plan de Sainte-Maure]</t>
  </si>
  <si>
    <t>1500 : SAINTE-MAURE (île de)</t>
  </si>
  <si>
    <t xml:space="preserve">île ; mer ; forteresse ; ville ; montagne ; lac ; </t>
  </si>
  <si>
    <t>1685-02_285</t>
  </si>
  <si>
    <t>https://gallica.bnf.fr/ark:/12148/bpt6k6227597f/f299.item</t>
  </si>
  <si>
    <t>Jettons de l'année 1685</t>
  </si>
  <si>
    <t>[Jetons de l'année 1685]*</t>
  </si>
  <si>
    <t>médaille ; aigle ; foudre ; navire ; pièce d'artillerie ; aigle ; soleil ; abeille ; armoiries ; ville ; port ; mer ; jardin ; drapeau ou étendard ; fontaine ; aqueduc</t>
  </si>
  <si>
    <t>1685-03_128</t>
  </si>
  <si>
    <t>https://gallica.bnf.fr/ark:/12148/bpt6k63706517/f142.item</t>
  </si>
  <si>
    <t>[Illustration allégorique de la thèse de M. de Rouvière, apothicaire, sur la thériaque]*</t>
  </si>
  <si>
    <t>emblématique ; héraldique ; médecine ; thèse</t>
  </si>
  <si>
    <t>lion (animal) ; autel ; ruche ; abeille ; armoiries ; vipère ; soleil ; bélier (animal) ; bœuf ; lézard ; mouche ; serpent d'Epidaure ; tournesol ; chêne ; laurier ; bouclier ; cassolette ; amours</t>
  </si>
  <si>
    <t>7967dce6-e2a9-4dd3-a78a-670e0d92090a</t>
  </si>
  <si>
    <t>Rouvière, Louis-Henry de [fl. 1671-1712] ; rouviere_henry</t>
  </si>
  <si>
    <t>303bf40e-5603-4bc6-8959-1e7b58d1aaf4</t>
  </si>
  <si>
    <t>Mosnier, Pierre (1641-1703)</t>
  </si>
  <si>
    <t>Jean Lepautre</t>
  </si>
  <si>
    <t>Sur l'estampe : "P. Munier invenit et delineavit." et "Jean le Pautre Sculp." L'article afférent à l'estampe précise : "Je vous envoye l'Estampe de l'Emblême Enigmatique, mise au haut de la dernière de ces Thèses". V. Meyer mentionne l'existence de deux autres états, et écrit également : "Lepautre était mort depuis trois ans lorsque cette thèse fut soutenue ; Rouvière n'était donc pas le commanditaire de la planche."</t>
  </si>
  <si>
    <r>
      <rPr>
        <b/>
        <sz val="10"/>
        <color theme="1"/>
        <rFont val="Arial"/>
        <family val="2"/>
      </rPr>
      <t xml:space="preserve">https://www.persee.fr/doc/pharm_0035-2349_1986_num_74_270_3320#pharm_0035-2349_1986_num_74_270_T1_0219_0000 ; MEYER, Véronique, </t>
    </r>
    <r>
      <rPr>
        <b/>
        <i/>
        <sz val="10"/>
        <color theme="1"/>
        <rFont val="Arial"/>
        <family val="2"/>
      </rPr>
      <t>Pour la plus grande gloire du roi : Louis XIV en thèses, Rennes</t>
    </r>
    <r>
      <rPr>
        <b/>
        <sz val="10"/>
        <color theme="1"/>
        <rFont val="Arial"/>
        <family val="2"/>
      </rPr>
      <t xml:space="preserve">, Centre de recherche du château de Versailles/Presses universitaires de Rennes, 2017 ; MEYER, Véronique, </t>
    </r>
    <r>
      <rPr>
        <b/>
        <i/>
        <sz val="10"/>
        <color theme="1"/>
        <rFont val="Arial"/>
        <family val="2"/>
      </rPr>
      <t>Pour la plus grande gloire du roi : Louis XIV en thèses : Catalogue</t>
    </r>
    <r>
      <rPr>
        <b/>
        <sz val="10"/>
        <color theme="1"/>
        <rFont val="Arial"/>
        <family val="2"/>
      </rPr>
      <t>, Rennes, Centre de recherche du château de Versailles/Presses universitaires de Rennes, 2017, n°105. 1685.</t>
    </r>
  </si>
  <si>
    <t>"Qui était P. Munier ? Mariette précise qu'il s'appelle Pierre. Faut-il l'identifier avec Pierre Mosnier (1641-1703), élève de Sébastien Bourdon qui obtint le grand prix de peinture en 1664, fut reçu à l'Académie le 6 octobre 1674 avec Hercule se préparant à la défense de la ville de Thèbes, y fut professeur en 1698 et publia cette année-là Histoire des arts qui ont rapport au dessin ?
Lepautre était mort depuis trois ans lorsque cette thèse fut soutenue ;
Rouvière n'était donc pas le commanditaire de la planche. Il existe un état antérieur, avant la devise du roi autour du soleil qui n'est pas encore personnifié, avant la cassolette sur l'autel, le globe, le cartouche et les amours. Les armes de France, surmontées de la couronne royale et entourées du collier de l'ordre du Saint-Esprit, occupent seules le piédestal. L'amour à droite, au lieu du serpent ailé, tient des armoiries (parti au 1 à un lion rampant, au 2 à un navire) qui restent à identifier. La légende VT DAT VIVA NECEM, SIC MORTVA VITAM sera ajoutée pour la thèse (1er état : BNF, Est., Ed 42 b fol.,fol. 52). Il est possible que ce premier état ait servi aussi pour une thèse dédiée à Louis XIV, portant également sur la thériaque. Il semble que d'autres candidats en firent également usage. Maxime Préaud (IFF 593) mentionne en effet un autre état avec « un basilic » dans le bouclier tenu par le petit génie (BNF, Est., Ed 42 b fol. 53).
La gravure connut un certain succès et fut diffusée à l'étranger (...)." MEYER, Véronique, Pour la plus grande gloire du roi : Louis XIV en thèses : Catalogue, Rennes, Centre de recherche du château de Versailles/Presses universitaires de Rennes, 2017, p. 353.</t>
  </si>
  <si>
    <t>1685-03e_147</t>
  </si>
  <si>
    <t>[Fonctionnement d'une lunette d'observation]*</t>
  </si>
  <si>
    <t>lunette d'optique ; tour ; pont ; cadran ou horloge</t>
  </si>
  <si>
    <t>1685-04_182</t>
  </si>
  <si>
    <t>https://gallica.bnf.fr/ark:/12148/bpt6k6227646g/f196.item</t>
  </si>
  <si>
    <t>Devises</t>
  </si>
  <si>
    <t>[Devises figurant sur les écus des chevaliers lors d'une course de carnaval à Versailles]*</t>
  </si>
  <si>
    <t>226 : VERSAILLES</t>
  </si>
  <si>
    <t xml:space="preserve">emblèmes et devises ; héraldique ; </t>
  </si>
  <si>
    <t>armoiries ; soleil ; palmier ; tournesol ; trophée ; piédestal ; globe ; Vents ; lance ; drapeau ou étendard ; bouclier</t>
  </si>
  <si>
    <t>1685-05_196</t>
  </si>
  <si>
    <t>https://gallica.bnf.fr/ark:/12148/bpt6k6228375g/f207.item</t>
  </si>
  <si>
    <t>[Vénus d'Arles]*</t>
  </si>
  <si>
    <t>[La Vénus d'Arles]</t>
  </si>
  <si>
    <t>2645 : ARLES</t>
  </si>
  <si>
    <t xml:space="preserve">archéologie ; mythologie gréco-romaine ; sculpture ; </t>
  </si>
  <si>
    <t>statue ; Vénus ; piédestal</t>
  </si>
  <si>
    <t>2302a240-485c-4e01-bf00-9d663145986d</t>
  </si>
  <si>
    <t>Ogier, Mathieu (fl.1676-1709) ; 83958</t>
  </si>
  <si>
    <t>Sur l'estampe : "M. Ôgier Sculp. Lugd."</t>
  </si>
  <si>
    <t>SELMECI CASTIONI, Barbara, « L'actualité gravée au temple de mémoire », Nouvelles de l'estampe, vol. 252, 2015, p. 52-66. URL : http://journals.openedition.org/estampe/1370</t>
  </si>
  <si>
    <t>1685-06_254</t>
  </si>
  <si>
    <t>https://gallica.bnf.fr/ark:/12148/bpt6k6227990x/f277.item</t>
  </si>
  <si>
    <t>[Médaille repésentant Léopold I de Habsbourg frappée après la levée du siège de Vienne]*</t>
  </si>
  <si>
    <t>[La Medaille de l'Empereur]</t>
  </si>
  <si>
    <t>emblématique ; personnification des vices et des vertus ; vie militaire ; héraldique</t>
  </si>
  <si>
    <t>médaille ; ville ; forteresse ; armée ; drapeau ou étendard ; croissant ; cheval ; Renommée (personnification) ; bouclier ; arme ; bataille ; camp militaire ; armoiries</t>
  </si>
  <si>
    <r>
      <rPr>
        <b/>
        <sz val="10"/>
        <rFont val="Arial"/>
        <family val="2"/>
      </rPr>
      <t xml:space="preserve">D'après une médaille de </t>
    </r>
    <r>
      <rPr>
        <b/>
        <u/>
        <sz val="10"/>
        <color rgb="FF1155CC"/>
        <rFont val="Arial"/>
        <family val="2"/>
      </rPr>
      <t>Meybusch, Anton (1645 - 1702?)</t>
    </r>
    <r>
      <rPr>
        <b/>
        <sz val="10"/>
        <rFont val="Arial"/>
        <family val="2"/>
      </rPr>
      <t>. Sur l'avers de la médaille : "Anton. Meybus Ch. Fecit."</t>
    </r>
  </si>
  <si>
    <t>Leopoldus. I. D : G. Rom : Imp : Semp : Aug : Turcarum. Victor. [Exergue :] Anton. Meybus Ch. Fecit.</t>
  </si>
  <si>
    <t>Urbem. Servatis. et orbem [Exergue :] Vienna. Austriæ. Turcis. Oppugnari. Cæptad : 14. Julii Liberata. D. 2 Sept : A. 1683 Ant. Meyb.</t>
  </si>
  <si>
    <t>1685-06e_180</t>
  </si>
  <si>
    <t>https://gallica.bnf.fr/ark:/12148/bpt6k6373523h/f192.item</t>
  </si>
  <si>
    <t>Planche XI</t>
  </si>
  <si>
    <t>[La Planche XI estant déployée]</t>
  </si>
  <si>
    <t>MG-1685-07_263</t>
  </si>
  <si>
    <t>https://gallica.bnf.fr/ark:/12148/bpt6k6260680f/f323.item</t>
  </si>
  <si>
    <t>[Vue légendée d'une décoration de table dressée à l'occasion d'un banquet organisé par le marquis de Seignelay en l'honneur de Louis XIV: arcade feuillée]*</t>
  </si>
  <si>
    <t>217 : SCEAUX, Château de</t>
  </si>
  <si>
    <t>décor éphémère ; héraldique ; architecture</t>
  </si>
  <si>
    <t>table de banquet ; armoiries ; canal ; fontaine ; jardin</t>
  </si>
  <si>
    <t>de3bb776-663e-42f2-b36c-3f45dc270b5a ; 1480e2ab-f3d6-4915-a0c0-9a5b55fd56b6</t>
  </si>
  <si>
    <t xml:space="preserve">Seignelay, Marie Jean-Baptiste Colbert (1683-1712), marquis de /28113 ; louis_xiv_(1638-1715)_roi_de_france ; louis_dauphin_de_france_(1661-1711) ; </t>
  </si>
  <si>
    <t>Sur l'estampe : "Berrin inv".</t>
  </si>
  <si>
    <t>1685-08_290</t>
  </si>
  <si>
    <t>https://gallica.bnf.fr/ark:/12148/bpt6k62606895/f297.item</t>
  </si>
  <si>
    <t>Plan de Tripoly en Barbarie</t>
  </si>
  <si>
    <t>[Plan légendé de Tripoli]*</t>
  </si>
  <si>
    <t>[Le Plan de Tripoly]</t>
  </si>
  <si>
    <t xml:space="preserve">1451 : TRIPOLI </t>
  </si>
  <si>
    <t xml:space="preserve">forteresse ; ville ; port ; citadelle ; mer ; </t>
  </si>
  <si>
    <t>c0596265-9fe9-4fa0-9087-8cefbdc75087</t>
  </si>
  <si>
    <t>Minuty, I. (fl. 1685) ; 84132</t>
  </si>
  <si>
    <t>Sur l'estampe : "I. Minuty : delineavit Dolivart Sculpsit".</t>
  </si>
  <si>
    <t>https://gallica.bnf.fr/ark:/12148/btv1b8595351p</t>
  </si>
  <si>
    <t>1685-09_269</t>
  </si>
  <si>
    <t>https://gallica.bnf.fr/ark:/12148/bpt6k6228696p/f279.item</t>
  </si>
  <si>
    <t>Newhausel</t>
  </si>
  <si>
    <t>[Plan de la ville et des fortifications de Neuhäusel]*</t>
  </si>
  <si>
    <t>[Le Plan de Neuhausel]</t>
  </si>
  <si>
    <t>1210 : NEUHÄUSEL</t>
  </si>
  <si>
    <t>forteresse ; cheval ; drapeau ou étendard ; pont ; ville ; fleuve, rivière, ruisseau ; armée</t>
  </si>
  <si>
    <t>1685-09_314</t>
  </si>
  <si>
    <t>https://gallica.bnf.fr/ark:/12148/bpt6k6228696p/f322.item</t>
  </si>
  <si>
    <t xml:space="preserve">[Etendard déployé après la prise de Coron, lors de la guerre de Morée contre les Vénitiens]* </t>
  </si>
  <si>
    <t>1767 : CORON</t>
  </si>
  <si>
    <t>objets décoratifs et d'apparat ; héraldique ; vie militaire</t>
  </si>
  <si>
    <t>1685-09e_280</t>
  </si>
  <si>
    <t>https://gallica.bnf.fr/ark:/12148/bpt6k63728556/f288.item</t>
  </si>
  <si>
    <t>Planche XII</t>
  </si>
  <si>
    <t>[Dessins d'optique figurant des binocles]*</t>
  </si>
  <si>
    <t>Planche du traité de Comiers "Onzième partie du traité des lunetes".</t>
  </si>
  <si>
    <t>1685-10_252</t>
  </si>
  <si>
    <t>https://gallica.bnf.fr/ark:/12148/bpt6k6227987f/f267.item</t>
  </si>
  <si>
    <t>[Médaille représentant Jacques II, roi d'Angleterre]*</t>
  </si>
  <si>
    <t>[La Medaille du Roy d'Angleterre]</t>
  </si>
  <si>
    <t>médaille ; lion (animal) ; globe ; sceptre</t>
  </si>
  <si>
    <t>Sur le revers de la médaille : "LS". https://www.google.fr/books/edition/The_Numismatic_Circular/fxMrAAAAMAAJ?hl=fr&amp;gbpv=1&amp;bsq=Nemome+impune+lacesset+LS+MDCLXXXV&amp;dq=Nemome+impune+lacesset+LS+MDCLXXXV&amp;printsec=frontcover</t>
  </si>
  <si>
    <t>Jacobus II. D. G. Mag : Bri : Et hib : Rex</t>
  </si>
  <si>
    <t>Nemome impune lacesset [Exergue :] LS MDCLXXXV</t>
  </si>
  <si>
    <t>1685-11_089</t>
  </si>
  <si>
    <t>https://gallica.bnf.fr/ark:/12148/bpt6k6515421s/f99.item</t>
  </si>
  <si>
    <t xml:space="preserve">Thème Céleste </t>
  </si>
  <si>
    <t>[Thème céleste élaboré par un mathématicien anglais ]*</t>
  </si>
  <si>
    <t>[Le Theme celeste]</t>
  </si>
  <si>
    <t>astrologie ; mathématiques</t>
  </si>
  <si>
    <t>1685-12_278</t>
  </si>
  <si>
    <t>https://gallica.bnf.fr/ark:/12148/bpt6k6227588g/f293.item</t>
  </si>
  <si>
    <t>[Médaille : portrait de Michel Le Tellier, chancelier de France]*</t>
  </si>
  <si>
    <t>[Le Portrait de feu Mr le Chancelier]</t>
  </si>
  <si>
    <t>emblématique ; héraldique ; personnification des vices et des vertus ; mythologie gréco-romaine</t>
  </si>
  <si>
    <t>médaille ; Justice (personnification) ; armoiries ; Minerve ; Religion (personnification) ; lance ; balance ; chouette ; piédestal</t>
  </si>
  <si>
    <t>Michael. Le. Tellier Franciæ. Cancellarius</t>
  </si>
  <si>
    <t>Fortunatæ. Virtuti. [Exergue :] Optimo. Patri Filiorum. Pietas MDCLXXXIV</t>
  </si>
  <si>
    <t>1686-01_269</t>
  </si>
  <si>
    <t>Numéro manque dans Gallica au 21 ; 05 ; 21</t>
  </si>
  <si>
    <t>[Planche contenant plusieurs pièces de monnaie]*</t>
  </si>
  <si>
    <t>[Pièces de monnoye]</t>
  </si>
  <si>
    <t>monnaie</t>
  </si>
  <si>
    <t>26,2 x 8,5 cm</t>
  </si>
  <si>
    <t>1686-01_272</t>
  </si>
  <si>
    <t>[Parallélépipède]*</t>
  </si>
  <si>
    <t>[La Figure du Problème]</t>
  </si>
  <si>
    <t>géométrie</t>
  </si>
  <si>
    <t>figure géométrique</t>
  </si>
  <si>
    <t>10,2 x 7 cm</t>
  </si>
  <si>
    <t>1686-02a_188</t>
  </si>
  <si>
    <t>https://gallica.bnf.fr/ark:/12148/bpt6k6227895n/f218.item</t>
  </si>
  <si>
    <t>Jettons de l'année 1686</t>
  </si>
  <si>
    <t>[Jetons de l'année 1686]*</t>
  </si>
  <si>
    <t>[Jetons]</t>
  </si>
  <si>
    <t>Confreres Porteurs de la Chasse de Sainte Geneviéve du Mont</t>
  </si>
  <si>
    <t>emblématique ; héraldique ; religion ; procession</t>
  </si>
  <si>
    <t>jetons ; olivier ; armoiries ; ville ; soleil ; aigle ; piédestal ; pape ; mouton ; lion (animal) ; forteresse ; serpent ; sainte Geneviève ; oranger ; foudre ; armoiries</t>
  </si>
  <si>
    <t>MG-1686-02b_159</t>
  </si>
  <si>
    <t>https://gallica.bnf.fr/ark:/12148/btv1b8406490q.item</t>
  </si>
  <si>
    <t>Profil du Temple de Charenton du dessein du Sr. de Brosse</t>
  </si>
  <si>
    <t>[Vue du temple de Charenton construit par Salomon de Brosse et rasé en 1685]*</t>
  </si>
  <si>
    <t>[Temple de Charenton]</t>
  </si>
  <si>
    <t>297039 : CHARENTON</t>
  </si>
  <si>
    <t>architecture ; religion</t>
  </si>
  <si>
    <t>temple protestant</t>
  </si>
  <si>
    <t>1b3523b9-b3d9-4fa1-8bec-d2f9e1695e42</t>
  </si>
  <si>
    <t>Brosse, Salomon de (1571?-1626) ; 84122</t>
  </si>
  <si>
    <t>plan de bâtiment ; élévation</t>
  </si>
  <si>
    <t>https://catalogue.bnf.fr/ark:/12148/cb41504472d</t>
  </si>
  <si>
    <t>1686-03_201</t>
  </si>
  <si>
    <t>https://gallica.bnf.fr/ark:/12148/bpt6k6438001w/f216.item</t>
  </si>
  <si>
    <t>[Médaille représentant Jacques II, roi d''Angleterre, avec l'allégorie de la Justice au revers]*</t>
  </si>
  <si>
    <t>[Médaille]</t>
  </si>
  <si>
    <t>emblématique ; personnification des vices et des vertus ; héraldique ; mythologie gréco-romaine</t>
  </si>
  <si>
    <t xml:space="preserve">médaille ; soleil ; armoiries ; Justice (personnification) ; piédestal ; serpent ; épée ; lion (animal) ; Neptune ; char ; trident ; mer ; foudre ; </t>
  </si>
  <si>
    <t>0cea0d9b-75fc-4bbe-af49-20a7188d4783 ; bdc0760d-b96e-4e62-9b4d-4858a3407e93 ; 5cc1bd30-308d-48bd-8240-d9bcd5653514</t>
  </si>
  <si>
    <t xml:space="preserve">jacques_ii_(1633-1701)_roi_dangleterre ; monmouth_james_scott_duc_de_(1649-1685) ; argyll_archibald_campbell_comte_d_(1532?-1573) ; </t>
  </si>
  <si>
    <t>Sur l'avers de la médaille : "R. A. Fec."</t>
  </si>
  <si>
    <t>Jacobus II D. G. Mag. Bri. Et. Hib. Rex. [Exergue :] 1685 Hony soit qui mal y pense R. A. Fec. Aras et sceptra tuemur</t>
  </si>
  <si>
    <t>[Exergue :] Ambitio Malesuada Ruit</t>
  </si>
  <si>
    <t>MG-1686-04_215</t>
  </si>
  <si>
    <t>https://gallica.bnf.fr/ark:/12148/bpt6k6225952m/f275.item</t>
  </si>
  <si>
    <t>[Médaille en l'honneur de Louis XIV; Droit: portrait du roi; Revers: statue honorifique]*</t>
  </si>
  <si>
    <t>emblématique ; sculpture</t>
  </si>
  <si>
    <t>médaille ; statue ; piédestal ; bas-relief ; captifs</t>
  </si>
  <si>
    <t>12,3 x 7 cm</t>
  </si>
  <si>
    <r>
      <rPr>
        <b/>
        <sz val="10"/>
        <color theme="1"/>
        <rFont val="Arial"/>
        <family val="2"/>
      </rPr>
      <t>Sur l'avers de la médaille : "</t>
    </r>
    <r>
      <rPr>
        <b/>
        <sz val="10"/>
        <color theme="1"/>
        <rFont val="Arial"/>
        <family val="2"/>
      </rPr>
      <t>R"</t>
    </r>
    <r>
      <rPr>
        <b/>
        <sz val="10"/>
        <color theme="1"/>
        <rFont val="Arial"/>
        <family val="2"/>
      </rPr>
      <t>.</t>
    </r>
  </si>
  <si>
    <t>Ludovicus. Magnus. Rex. Christianiss. [Exergue :] R</t>
  </si>
  <si>
    <t>Patri. Exercituum. Et. Ductori. Semper. Felici. [Exergue :] Viro Immortali Unus. Inter. Proceres. Posu. In. Area. Publ. Lutetiæ. [...]</t>
  </si>
  <si>
    <t>1686-05_243</t>
  </si>
  <si>
    <t>MG-1686-05_243</t>
  </si>
  <si>
    <t>https://gallica.bnf.fr/ark:/12148/bpt6k6258626v/f251.item</t>
  </si>
  <si>
    <t>[Médaille : portait de Louis Boucherat, chancelier de France]*</t>
  </si>
  <si>
    <t>[Médaille de M. le Chancelier]</t>
  </si>
  <si>
    <t>Justice (personnification) ; médaille ; balance ; corne d'abondance</t>
  </si>
  <si>
    <t>b8d99f7c-6a85-4808-bdb6-e7df54542f10</t>
  </si>
  <si>
    <t xml:space="preserve">boucherat_louis_(1616-1699) ; </t>
  </si>
  <si>
    <t>18,1 x 9,1 cm</t>
  </si>
  <si>
    <r>
      <rPr>
        <b/>
        <sz val="10"/>
        <rFont val="Arial"/>
        <family val="2"/>
      </rPr>
      <t xml:space="preserve">D'après une médaille de </t>
    </r>
    <r>
      <rPr>
        <b/>
        <u/>
        <sz val="10"/>
        <color rgb="FF1155CC"/>
        <rFont val="Arial"/>
        <family val="2"/>
      </rPr>
      <t>Mollart, Michel (1641-1713)</t>
    </r>
    <r>
      <rPr>
        <b/>
        <sz val="10"/>
        <rFont val="Arial"/>
        <family val="2"/>
      </rPr>
      <t>. Sur l'avers de la médaille : "Molart. F."</t>
    </r>
  </si>
  <si>
    <t>Ludovicus. Boucherat. Franciæ. Cancellarius. [Exergue :] Molart. F.</t>
  </si>
  <si>
    <t>Justitiae. Comes. Beneficentia. [Exergue :] M.D.C.LXXXV.</t>
  </si>
  <si>
    <t>MG-1686-06_080 - incomplet</t>
  </si>
  <si>
    <t>https://gallica.bnf.fr/ark:/12148/bpt6k6451731t/f90.item</t>
  </si>
  <si>
    <t>chancellerie_de_france</t>
  </si>
  <si>
    <t>dc66d72d-cd04-41ae-8676-107bba7b9dbd</t>
  </si>
  <si>
    <t>Hainzelmann, Johann (1641-1693) ; 83902</t>
  </si>
  <si>
    <r>
      <rPr>
        <b/>
        <sz val="10"/>
        <rFont val="Arial"/>
        <family val="2"/>
      </rPr>
      <t xml:space="preserve">D'après une médaille de </t>
    </r>
    <r>
      <rPr>
        <b/>
        <u/>
        <sz val="10"/>
        <color rgb="FF1155CC"/>
        <rFont val="Arial"/>
        <family val="2"/>
      </rPr>
      <t>Mollart, Michel (1641-1713)</t>
    </r>
    <r>
      <rPr>
        <b/>
        <sz val="10"/>
        <rFont val="Arial"/>
        <family val="2"/>
      </rPr>
      <t>. Sur l'avers de la médaille : "Molart. F." et "F. J. Hainsolman del. et fc."</t>
    </r>
  </si>
  <si>
    <t xml:space="preserve">Ludovicus. Boucherat. Franciæ. Cancellarius. [Exergue :] Molart. F. J. Hainsolman del. et fc. </t>
  </si>
  <si>
    <t>https://catalogue.bnf.fr/ark:/12148/cb415053653</t>
  </si>
  <si>
    <t>1686-07a_310</t>
  </si>
  <si>
    <t>https://gallica.bnf.fr/ark:/12148/bpt6k6258822w/f324.item</t>
  </si>
  <si>
    <t>[Cérémonie en présence des ambassadeurs de Siam : quatre pagodes]*</t>
  </si>
  <si>
    <t>[Figure]</t>
  </si>
  <si>
    <t>1316 : Siam</t>
  </si>
  <si>
    <t>pagode ; fleuve, rivière, ruisseau</t>
  </si>
  <si>
    <t>1686-08_320</t>
  </si>
  <si>
    <t>https://gallica.bnf.fr/ark:/12148/bpt6k6319354k/f337.item</t>
  </si>
  <si>
    <t>Plan de Bude</t>
  </si>
  <si>
    <t>[Plan des fortifications de Budapest]*</t>
  </si>
  <si>
    <t>[Plan de Bude]</t>
  </si>
  <si>
    <t>1262 : BUDE</t>
  </si>
  <si>
    <t>forteresse ; fleuve, rivière, ruisseau ; pièce d'artillerie</t>
  </si>
  <si>
    <t>22 x 34 cm</t>
  </si>
  <si>
    <t>1686-09a_251</t>
  </si>
  <si>
    <t>https://gallica.bnf.fr/ark:/12148/bpt6k6259034n/f270.item</t>
  </si>
  <si>
    <t>[Perle offerte par Gianetto Semeria au roi]*</t>
  </si>
  <si>
    <t>objets décoratifs et d'apparat ; personnification des vices et des vertus</t>
  </si>
  <si>
    <t>perle ; diamant ; lance ; bouclier ; drapeau ou étendard ; piédestal ; bouclier ; Renommée (personnification)</t>
  </si>
  <si>
    <t>3a4bf8ad-d17f-42dd-a561-8215efcc8bc9 ; 1480e2ab-f3d6-4915-a0c0-9a5b55fd56b6</t>
  </si>
  <si>
    <t>Semeria, Gianettino (fl.1686) ; 83994 ; louis_xiv_(1638-1715)_roi_de_france</t>
  </si>
  <si>
    <t>16,9 x 13cm</t>
  </si>
  <si>
    <t>https://gallica.bnf.fr/ark:/12148/btv1b84067166</t>
  </si>
  <si>
    <t>1686-09b_167</t>
  </si>
  <si>
    <t>Numéro manque dans Gallica au 24/02/22</t>
  </si>
  <si>
    <t>[Lettre au roi présentée sur un lit de parade par le premier ambassadeur de Siam]*</t>
  </si>
  <si>
    <t>92 : PARIS, Hôtel des Ambassadeurs ;</t>
  </si>
  <si>
    <t>1316 : ROYAUME DE SIAM</t>
  </si>
  <si>
    <t>décor architectural ; décor éphémère ; objets décoratifs et d'apparat</t>
  </si>
  <si>
    <t>rideau ; lit de parade</t>
  </si>
  <si>
    <t>d15c5baf-16da-4044-9e70-6f2dc1c2ab16</t>
  </si>
  <si>
    <t>Ambassadeur du Siam à la cour de France (fl. 1684.10)</t>
  </si>
  <si>
    <t>21,4 x 16,3 cm</t>
  </si>
  <si>
    <t>Sur l'estampe : "Dolivar Del. F."</t>
  </si>
  <si>
    <t>1686-10a_286</t>
  </si>
  <si>
    <t>https://gallica.bnf.fr/ark:/12148/bpt6k6225131p/f296.item</t>
  </si>
  <si>
    <t>[Réjouissances du 22 septembre 1686 au Pré-aux-clercs célébrant la prise de Bude]*</t>
  </si>
  <si>
    <t>144 : PARIS, Pré-aux-clercs</t>
  </si>
  <si>
    <t>1048 : CERCLE D'AUTRICHE ; 1438 : EMPIRE OTTOMAN ; 1262 : BUDE</t>
  </si>
  <si>
    <t>décor éphémère ; architecture ; héraldique ; vie militaire</t>
  </si>
  <si>
    <t>armoiries ; arc de triomphe ; feu d'artifice ; aigle ; trophée ; piédestal ; épée ; croissant ; captifs</t>
  </si>
  <si>
    <t>32,5 x 21,2 cm</t>
  </si>
  <si>
    <t>1686-11a_167</t>
  </si>
  <si>
    <t>https://gallica.bnf.fr/ark:/12148/bpt6k6258810p/f188.item</t>
  </si>
  <si>
    <t>[Armoiries des cardinaux]*</t>
  </si>
  <si>
    <t>[Armes des cardinaux]</t>
  </si>
  <si>
    <t>Sur l'estampe : J. Dolivar fecit".</t>
  </si>
  <si>
    <t>1686-12a_211</t>
  </si>
  <si>
    <t>https://gallica.bnf.fr/ark:/12148/bpt6k63097627/f225.item</t>
  </si>
  <si>
    <t>[Revers d'une médaille sur la révocation des édits de Nantes et de Nîmes]*</t>
  </si>
  <si>
    <t xml:space="preserve">médaille ; colonne ; piédestal ; montagne ; </t>
  </si>
  <si>
    <t>7,2 x 11,8 cm</t>
  </si>
  <si>
    <t>Sur l'estampe : "Dolivar del fe".</t>
  </si>
  <si>
    <t>[Exergue :] Edictum Nantesium Nimesiumque abrogatum est mense octob : 1685</t>
  </si>
  <si>
    <t>BnF, Est, VA-78 (E, 5)-FOL</t>
  </si>
  <si>
    <t>L'estampe figure page 325, paginée 225 par erreur. Cette erreur est reproduite dans l'avis pour placer les figures.</t>
  </si>
  <si>
    <t>https://gallica.bnf.fr/ark:/12148/btv1b52512203f</t>
  </si>
  <si>
    <t>[Trône du roi dans la grande galerie de Versailles pour l'audience des ambassadeurs de Siam]*</t>
  </si>
  <si>
    <t>247 : VERSAILLES, Château, grande Galerie</t>
  </si>
  <si>
    <t>objets décoratifs et d'apparat ; décor architectural ; sculpture</t>
  </si>
  <si>
    <t xml:space="preserve">trône ; statue </t>
  </si>
  <si>
    <t>19 x 23,5 cm</t>
  </si>
  <si>
    <t>Sur l'estampe : "J. Dolivar Sculp"</t>
  </si>
  <si>
    <t>https: ; / catalogue.bnf.fr ; ark: ; 12148 ; cb45708975p</t>
  </si>
  <si>
    <t>1687-01a_161</t>
  </si>
  <si>
    <t>MG-1687-01a_161</t>
  </si>
  <si>
    <t>https://gallica.bnf.fr/ark:/12148/bpt6k62624893/f175.item</t>
  </si>
  <si>
    <t>[Médaille représentant Louis II de Bourbon, prince de Condé et un arc de triomphe au revers]*</t>
  </si>
  <si>
    <t xml:space="preserve">médaille ; arc de triomphe ; cheval ; Renommée (personnification) ; </t>
  </si>
  <si>
    <t>34883743-b50d-4a68-b070-91ee0b91e930</t>
  </si>
  <si>
    <t xml:space="preserve">conde_louis_ii_de_bourbon_(1621-1686)_prince_de ; </t>
  </si>
  <si>
    <t>Sur l'estampe : "Dolivar Del et fe". D'après une médaille de Chéron, Charles Jean-François ; 84028. Sur l'avers de la médaille : "F. Chéron".</t>
  </si>
  <si>
    <t>Lud. Dux. Borbus. Princeps. Condæus. [Exergue :] F. Chéron</t>
  </si>
  <si>
    <t>Patre.Viam. Monstrante. [Exergue :] 1678</t>
  </si>
  <si>
    <t>MG-1687-02_001</t>
  </si>
  <si>
    <t>[Plan de table]*</t>
  </si>
  <si>
    <t>[Le Plan de la Table du Roy à l'Hôtel de Ville]</t>
  </si>
  <si>
    <t xml:space="preserve">90 : PARIS, Hôtel de ville </t>
  </si>
  <si>
    <t>14,9 x 11,5 cm</t>
  </si>
  <si>
    <t>MG-1687-02_073</t>
  </si>
  <si>
    <t>[Jetons]*</t>
  </si>
  <si>
    <t>[Le Jeton de la compagnie des chirurgiens de Paris]*</t>
  </si>
  <si>
    <t>Barbiers et chirurgiens de Paris  : 295681</t>
  </si>
  <si>
    <t>emblématique ; héraldique ; mythologie gréco-romaine ; médecine</t>
  </si>
  <si>
    <t xml:space="preserve">jetons ; armoiries ; soleil ; château ; jardin ; fontaine ; caducée ; couronne ; Apollon ; lyre (antique) ; </t>
  </si>
  <si>
    <t>0ae895c8-3f0d-43bb-bcda-918d6c4ad82c</t>
  </si>
  <si>
    <t>Sevin, Pierre-Paul (1646?-1710) ; 83912</t>
  </si>
  <si>
    <t>Sur l'estampe : "P. Sevin in." et "Dolivar fe".</t>
  </si>
  <si>
    <t>Ludovicus Magnus Sanitas Orbis. [Exergue :] 1687.</t>
  </si>
  <si>
    <t>Salus Publica [Exergue :] Schola Regia Chirur Paris</t>
  </si>
  <si>
    <t>CHANTRENNE, Damien, Pierre Paul Sevin (Tournon, 1646 - id. 1710), illustrateur et créateur de décors de fêtes et de cérémonies sous Louis XIV, Thèse de doctorat en histoire de l'art, sous la direction de Jérôme de La Gorce, Université Paris IV, Paris, 2012. MEYER, Véronique, Pour la plus grande gloire du roi : Louis XIV en thèses, Rennes, Centre de recherche du château de Versailles/Presses universitaires de Rennes, 2017.</t>
  </si>
  <si>
    <t>1687-03a_267</t>
  </si>
  <si>
    <t>https://gallica.bnf.fr/ark:/12148/bpt6k6263539v/f277.item</t>
  </si>
  <si>
    <t>Jettons de l'année 1687</t>
  </si>
  <si>
    <t>[Jetons de l'année 1687]*</t>
  </si>
  <si>
    <t>[Les Jetons de l'année]</t>
  </si>
  <si>
    <t>jetons ; soleil ; Neptune ; mer ; fleuve, rivière, ruisseau ; Hercule ; champ ; laboureur ; lion (animal) ; ruche ; abeille ; cheval ; char ; massue ; chien ; globe terrestre ; montagne</t>
  </si>
  <si>
    <t>Sur l'estampe : "Dolivar del et Scul".</t>
  </si>
  <si>
    <t>1687-04_268</t>
  </si>
  <si>
    <t>https://gallica.bnf.fr/ark:/12148/bpt6k6258715d/f283.item</t>
  </si>
  <si>
    <t>[Vue du château de Montgats]*</t>
  </si>
  <si>
    <t>[Le Château de Montgats]</t>
  </si>
  <si>
    <t xml:space="preserve">297161 : MONTGAT </t>
  </si>
  <si>
    <t>topographie ; vie militaire ; architecture</t>
  </si>
  <si>
    <t xml:space="preserve">château ; forteresse ; montagne ; église ; drapeau ou étendard ; ville ; </t>
  </si>
  <si>
    <t>Sur l'estampe : "Dolivar fecit".</t>
  </si>
  <si>
    <t>1687-05_254</t>
  </si>
  <si>
    <t>https://gallica.bnf.fr/ark:/12148/bpt6k6248112t/f271.item</t>
  </si>
  <si>
    <t>[Vue du Pont d'Esseck]*</t>
  </si>
  <si>
    <t>[Le Pont d'Esseck]</t>
  </si>
  <si>
    <t>298255 : ESSEK</t>
  </si>
  <si>
    <t>topographie ; architecture ; vie militaire</t>
  </si>
  <si>
    <t>pont ; montagne ; fleuve, rivière, ruisseau ; ville ; forteresse ; armée ; navire</t>
  </si>
  <si>
    <t>plans d'ouvrages de génie civil ; sièges et plans d'ouvrages militaires</t>
  </si>
  <si>
    <t>1687-06a_106</t>
  </si>
  <si>
    <t>https://gallica.bnf.fr/ark:/12148/bpt6k6225954f/f117.item</t>
  </si>
  <si>
    <t>[Portrait de Thomas Parr]*</t>
  </si>
  <si>
    <t>[Le Portrait de l'Homme Anglois, âgé de 152 ans]</t>
  </si>
  <si>
    <t>vieillard</t>
  </si>
  <si>
    <t>7e4875f7-150a-4acc-b2a3-6713e54d9ca2</t>
  </si>
  <si>
    <t>Parr, Thomas (?1483-1635) ; 84072</t>
  </si>
  <si>
    <t>1687-06b_191</t>
  </si>
  <si>
    <t>https://gallica.bnf.fr/ark:/12148/bpt6k6225966n/f215.item</t>
  </si>
  <si>
    <t>[Revers d'une médaille sur la prise de Luxembourg]*</t>
  </si>
  <si>
    <t>1069 : LUXEMBOURG</t>
  </si>
  <si>
    <t>médaille ; trophée ; montagne ; forteresse ; citadelle ; bouclier ; Sûreté des provinces (personnification)</t>
  </si>
  <si>
    <t>Ultimo. Aditu. Hostibus. Intercluso. [Exergue :] Lucemburcum captum ann. M.D.C.LXXXIV.IVN. VII</t>
  </si>
  <si>
    <r>
      <rPr>
        <b/>
        <u/>
        <sz val="10"/>
        <color rgb="FF1155CC"/>
        <rFont val="Arial"/>
        <family val="2"/>
      </rPr>
      <t>https://gallica.bnf.fr/ark:/12148/bpt6k1041715f/f431.item.zoom</t>
    </r>
    <r>
      <rPr>
        <b/>
        <sz val="10"/>
        <color rgb="FF000000"/>
        <rFont val="Arial"/>
        <family val="2"/>
      </rPr>
      <t xml:space="preserve"> ; </t>
    </r>
    <r>
      <rPr>
        <b/>
        <u/>
        <sz val="10"/>
        <color rgb="FF1155CC"/>
        <rFont val="Arial"/>
        <family val="2"/>
      </rPr>
      <t>https://catalogue.bnf.fr/ark:/12148/cb30545202h</t>
    </r>
  </si>
  <si>
    <t>1687-07_159</t>
  </si>
  <si>
    <t>https://gallica.bnf.fr/ark:/12148/bpt6k6274421d/f171.item</t>
  </si>
  <si>
    <t>[Médaille : portrait d'Imre Thököly de Késmárk]*</t>
  </si>
  <si>
    <t>[Le Portrait du Comte Tekely]</t>
  </si>
  <si>
    <t xml:space="preserve">emblématique </t>
  </si>
  <si>
    <t>cheval ; médaille ; colonne</t>
  </si>
  <si>
    <t>1f89c357-d1b0-48f0-a633-a1b757f57247</t>
  </si>
  <si>
    <t xml:space="preserve">Thököly de Késmárk, Imre, comte de (1657-1705) ; 83796 ; </t>
  </si>
  <si>
    <t>Emercic Teckly Dux Protest. Inhun</t>
  </si>
  <si>
    <t>Sicurtus Nescia Fræni</t>
  </si>
  <si>
    <t>1687-08a_159</t>
  </si>
  <si>
    <t>https://gallica.bnf.fr/ark:/12148/bpt6k6248452c/f173.item</t>
  </si>
  <si>
    <t>[Médaille de la vie du roi représentant la victoire sur la flotte hollandaise à Tobago]*</t>
  </si>
  <si>
    <t>298077 : TOBAGO</t>
  </si>
  <si>
    <t>emblématique ; personnification ; héraldique ; vie militaire ; mythologie gréco-romaine</t>
  </si>
  <si>
    <t xml:space="preserve">médaille ; mer ; Victoire (personnification) ; sept flèches des Provinces-Unies ; palme ; mer ; </t>
  </si>
  <si>
    <t>Incensa Batavorum Classe [Exergue :] Tabago M.DC.LXXVII.</t>
  </si>
  <si>
    <t>https://gallica.bnf.fr/ark:/12148/bpt6k1041715f/f343.item.zoom ; https://catalogue.bnf.fr/ark:/12148/cb30545202h. Médaille également gravée dans Histoire du règne de Louis-Le-Grand par les médailles, emblèmes, devises, jetons, inscriptions, armoiries et autres monuments publics de Ménestrier, gravée par Jean-Baptiste Nolin et Nicolas Guérard d'après des dessins de Pierre-Paul Sevain, planche 19 . Une médaille d'Anton Meysbuch (c. 1645-1702), conservée à Yale University Art Gallery, pourrait avoir servi de modèle au Mercure et à Ménestrier.</t>
  </si>
  <si>
    <r>
      <rPr>
        <b/>
        <sz val="10"/>
        <color theme="1"/>
        <rFont val="Arial"/>
        <family val="2"/>
      </rPr>
      <t xml:space="preserve">Peggy Davis, Marie-Lise Poirier, "Imaginer l'Amérique : rôles et fonctions de la gravure dans le </t>
    </r>
    <r>
      <rPr>
        <b/>
        <i/>
        <sz val="10"/>
        <color theme="1"/>
        <rFont val="Arial"/>
        <family val="2"/>
      </rPr>
      <t>Mercure galant</t>
    </r>
    <r>
      <rPr>
        <b/>
        <sz val="10"/>
        <color theme="1"/>
        <rFont val="Arial"/>
        <family val="2"/>
      </rPr>
      <t>", à compléter</t>
    </r>
  </si>
  <si>
    <t>https://gallica.bnf.fr/ark:/12148/bpt6k62208371/f281.item</t>
  </si>
  <si>
    <t>[Revers d'une médaille de la vie du roi sur la reddition de Strasbourg]*</t>
  </si>
  <si>
    <t xml:space="preserve">1851 : STRASBOURG </t>
  </si>
  <si>
    <t>emblématique ; personnification des villes, des États et des fleuves ; vie militaire</t>
  </si>
  <si>
    <t>médaille ; Père Rhin (personnification) ; église ; ville ; forteresse ; citadelle ; fleuve, rivière, ruisseau ; corne d'abondance</t>
  </si>
  <si>
    <r>
      <rPr>
        <b/>
        <u/>
        <sz val="10"/>
        <color rgb="FF1155CC"/>
        <rFont val="Arial"/>
        <family val="2"/>
      </rPr>
      <t>Coypel, Antoine (1661-1722)</t>
    </r>
    <r>
      <rPr>
        <b/>
        <sz val="10"/>
        <color rgb="FF000000"/>
        <rFont val="Arial"/>
        <family val="2"/>
      </rPr>
      <t xml:space="preserve"> ; 83868</t>
    </r>
  </si>
  <si>
    <t>Sur l'estampe : "Dolivar fecit". La médaille reproduite ici s'inspire d'un dessin préparatoire exécuté par Antoine Coypel (TURCKHEIM-PEY, Sylvie de, Médailles du Grand Siècle: Histoire métallique de Louis XIV, Paris, Bibliothèque nationale de France, 2004, p. 47).</t>
  </si>
  <si>
    <t>Fraenum hostibus opem sociis. [Exergue :] Argentoratum mun. M.DC.LXXXI.</t>
  </si>
  <si>
    <r>
      <rPr>
        <b/>
        <u/>
        <sz val="10"/>
        <color rgb="FF1155CC"/>
        <rFont val="Arial"/>
        <family val="2"/>
      </rPr>
      <t>https://gallica.bnf.fr/ark:/12148/bpt6k1041715f/f397.item.zoom</t>
    </r>
    <r>
      <rPr>
        <b/>
        <sz val="10"/>
        <color rgb="FF000000"/>
        <rFont val="Arial"/>
        <family val="2"/>
      </rPr>
      <t xml:space="preserve"> ; </t>
    </r>
    <r>
      <rPr>
        <b/>
        <u/>
        <sz val="10"/>
        <color rgb="FF1155CC"/>
        <rFont val="Arial"/>
        <family val="2"/>
      </rPr>
      <t>https://catalogue.bnf.fr/ark:/12148/cb30545202h</t>
    </r>
  </si>
  <si>
    <r>
      <rPr>
        <b/>
        <sz val="10"/>
        <color theme="1"/>
        <rFont val="Arial"/>
        <family val="2"/>
      </rPr>
      <t xml:space="preserve">TURCKHEIM-PEY, Sylvie de, </t>
    </r>
    <r>
      <rPr>
        <b/>
        <i/>
        <sz val="10"/>
        <color theme="1"/>
        <rFont val="Arial"/>
        <family val="2"/>
      </rPr>
      <t>Médailles du Grand Siècle: Histoire métallique de Louis XIV</t>
    </r>
    <r>
      <rPr>
        <b/>
        <sz val="10"/>
        <color theme="1"/>
        <rFont val="Arial"/>
        <family val="2"/>
      </rPr>
      <t>, Paris, Bibliothèque nationale de France, 2004, p. 46-47.</t>
    </r>
  </si>
  <si>
    <t>1687-10_216</t>
  </si>
  <si>
    <t>https://gallica.bnf.fr/ark:/12148/bpt6k6274596g/f235.item</t>
  </si>
  <si>
    <t>[Médaille représentant le prince Charles de Lorraine]*</t>
  </si>
  <si>
    <t>[Médaille qui représente Charles de Lorraine]</t>
  </si>
  <si>
    <t>emblématique ; personnification ; mythologie gréco-romaine</t>
  </si>
  <si>
    <t>médaille ; Mercure ; Victoire (personnification) ; tour</t>
  </si>
  <si>
    <t>3291a49b-640b-428f-a917-b7f099cac727</t>
  </si>
  <si>
    <t xml:space="preserve">lorraine_charles-joseph_(1680-1715)_prince_de ; </t>
  </si>
  <si>
    <r>
      <rPr>
        <b/>
        <sz val="10"/>
        <color theme="1"/>
        <rFont val="Arial"/>
        <family val="2"/>
      </rPr>
      <t>Sur l'estampe : "Dolivar del. et fe." Sur le revers de la médaille :</t>
    </r>
    <r>
      <rPr>
        <b/>
        <sz val="10"/>
        <color theme="1"/>
        <rFont val="Arial"/>
        <family val="2"/>
      </rPr>
      <t xml:space="preserve"> "LS".</t>
    </r>
  </si>
  <si>
    <t>Infidelibus Hungaria. Pulsis. [Exergue :] Buda Capt. 1686. LS</t>
  </si>
  <si>
    <t>1687-11_244</t>
  </si>
  <si>
    <t>MG-1687-11_244</t>
  </si>
  <si>
    <t>https://gallica.bnf.fr/ark:/12148/bpt6k6221925g/f264.item</t>
  </si>
  <si>
    <t>Castelnüovo</t>
  </si>
  <si>
    <t>[Plan de la forteresse de Castelnuovo]*</t>
  </si>
  <si>
    <t>[Le Plan de Castelnovo]</t>
  </si>
  <si>
    <t xml:space="preserve">297427 : CASTELNUOVO </t>
  </si>
  <si>
    <t>1047 : SAINT EMPIRE ROMAIN GERMANIQUE ; 1762 : RÉPUBLIQUE DE VENISE ; 1438 : EMPIRE OTTOMAN</t>
  </si>
  <si>
    <t xml:space="preserve">forteresse ; mer ; forteresse ; ville ; citadelle ; montagne ; </t>
  </si>
  <si>
    <t>14,2 x 17,8 cm</t>
  </si>
  <si>
    <t>1687-12_099</t>
  </si>
  <si>
    <t>https://gallica.bnf.fr/ark:/12148/bpt6k6221926w/f108.item</t>
  </si>
  <si>
    <t>Athènes</t>
  </si>
  <si>
    <t>[Plan de la ville d'Athènes]*</t>
  </si>
  <si>
    <t>[La Ville d'Athènes]</t>
  </si>
  <si>
    <t xml:space="preserve">276346 : ATHÈNES </t>
  </si>
  <si>
    <t>ville ; colonne ; forteresse ; citadelle ; temple</t>
  </si>
  <si>
    <t>1688-01_172</t>
  </si>
  <si>
    <t>[Revers d'une médaille sur la prospérité de la France]*</t>
  </si>
  <si>
    <t>emblématique ; mythologie gréco-romaine ; personnification des villes, des États et des fleuves</t>
  </si>
  <si>
    <t>médaille ; lance ; trophée ; colonne ; lyre (antique) ; caducée ; bouclier ; corne d'abondance ; Apollon ; France (personnification) ; serpent</t>
  </si>
  <si>
    <t>Incolumitas publica [Exergue :] Ob rest : princ : salut : ioa : ant : de mesmes com d'avaux apud bat : leg : ext : c : MD C.LXXXVII</t>
  </si>
  <si>
    <t>1688-02_146</t>
  </si>
  <si>
    <t>MG-1688-02_146</t>
  </si>
  <si>
    <t>https://gallica.bnf.fr/ark:/12148/bpt6k6223840f/f150.item</t>
  </si>
  <si>
    <t>Jettons de l'année 1688</t>
  </si>
  <si>
    <t>[Jetons de l'année 1688]*</t>
  </si>
  <si>
    <t xml:space="preserve">jetons ; amours ; aigle ; lion (animal) ; fontaine ; navire ; drapeau ou étendard ; mer ; soleil ; pièce d'artillerie ; jardin ; nid ; oranger ; alcyon ; </t>
  </si>
  <si>
    <t>1688-03_229</t>
  </si>
  <si>
    <t>https://gallica.bnf.fr/ark:/12148/bpt6k6225862n/f235.item</t>
  </si>
  <si>
    <t>[Revers d'une médaille de la vie du roi pour l'édification de la forteresse de Saarlouis]*</t>
  </si>
  <si>
    <t>1837 : SARELOUIS</t>
  </si>
  <si>
    <t>médaille ; forteresse ; Sarre (personnification) ; Saarlouis (personnification) ; roseau</t>
  </si>
  <si>
    <t>12 x 7,3 cm</t>
  </si>
  <si>
    <t>Sarloisium. Conditum. [Exergue :] M. DC. LXXXIII.</t>
  </si>
  <si>
    <r>
      <rPr>
        <b/>
        <u/>
        <sz val="10"/>
        <color rgb="FF1155CC"/>
        <rFont val="Arial"/>
        <family val="2"/>
      </rPr>
      <t>ttps://gallica.bnf.fr/ark:/12148/bpt6k1041715f/f427.item.zoom</t>
    </r>
    <r>
      <rPr>
        <b/>
        <sz val="10"/>
        <rFont val="Arial"/>
        <family val="2"/>
      </rPr>
      <t xml:space="preserve"> ; </t>
    </r>
    <r>
      <rPr>
        <b/>
        <u/>
        <sz val="10"/>
        <color rgb="FF1155CC"/>
        <rFont val="Arial"/>
        <family val="2"/>
      </rPr>
      <t>https://catalogue.bnf.fr/ark:/12148/cb30545202h</t>
    </r>
  </si>
  <si>
    <t>1688-04a_170</t>
  </si>
  <si>
    <t>https://gallica.bnf.fr/ark:/12148/bpt6k6371712s/f164.item</t>
  </si>
  <si>
    <t>Plans du projet de la communication des deux mers</t>
  </si>
  <si>
    <t>[Projet du canal de Bourgogne]*</t>
  </si>
  <si>
    <t>[Projet de la Communication des Mers par la Bourgogne]</t>
  </si>
  <si>
    <t>2096 : GOUVERNEMENT DE FRANCHE-COMTÉ</t>
  </si>
  <si>
    <t>hydraulique ; héraldique ; topographie</t>
  </si>
  <si>
    <t xml:space="preserve">canal ; montagne ; église ; mer ; fleuve, rivière, ruisseau ; armoiries ; château ; pont ; église ; </t>
  </si>
  <si>
    <t>Planche illustrant la "Lettre de M. Comiers à M. Hardy, Seigneur de Beaulieu, contenant la Conduite, l'Elevation des Eaux, &amp; tout ce qui concerne les Jets d'eau."</t>
  </si>
  <si>
    <t>https: ; / catalogue.bnf.fr ; ark: ; 12148 ; cb40653488m</t>
  </si>
  <si>
    <t>1688-05a_165</t>
  </si>
  <si>
    <t>https://gallica.bnf.fr/ark:/12148/bpt6k62216938/f168.item</t>
  </si>
  <si>
    <t>[Portrait du doge Francesco Morosini]*</t>
  </si>
  <si>
    <t>[Le Doge]</t>
  </si>
  <si>
    <t xml:space="preserve">1776 : VENISE, Basilique Saint-Marc </t>
  </si>
  <si>
    <t>décor architectural ; personnification ; mythologie gréco-romaine</t>
  </si>
  <si>
    <t>mosaïque ; coq ; Victoire (personnification) ; palme ; renard</t>
  </si>
  <si>
    <t>b4d0c59d-1c64-4725-8563-fda8d7ee3c70</t>
  </si>
  <si>
    <t xml:space="preserve">morosini_francesco_(1619-1694) ; </t>
  </si>
  <si>
    <t>1688-05b_368</t>
  </si>
  <si>
    <t>[La prophétie turque] - Suite de l'histoire de Mahomet IV depossédé</t>
  </si>
  <si>
    <t>1438 : EMPIRE OTTOMAN</t>
  </si>
  <si>
    <t>religion ;</t>
  </si>
  <si>
    <t>8293ead2-9507-4bb6-94e0-bef6ca52722d</t>
  </si>
  <si>
    <t>Mehmed IV [1642-1693] ; 84106</t>
  </si>
  <si>
    <t>13,3 x 16,8 cm</t>
  </si>
  <si>
    <t>1688-06a_189</t>
  </si>
  <si>
    <t>MG-1688-06a_189</t>
  </si>
  <si>
    <t>https://gallica.bnf.fr/ark:/12148/bpt6k6222592t/f193.item</t>
  </si>
  <si>
    <t>[Revers d'une médaille représentant les armoiries des dix villes cédées par la paix de Münster en 1648]*</t>
  </si>
  <si>
    <t>1839 : GOUVERNEMENT D'ALSACE</t>
  </si>
  <si>
    <t>emblématique ; personnification des villes, des États et des fleuves ; héraldique ; vie militaire</t>
  </si>
  <si>
    <t>médaille ; armoiries ; bouclier ; trône ; Alsace (personnification) ; France (personnification)</t>
  </si>
  <si>
    <t>Sur l'estampe : "J. Dolivar".</t>
  </si>
  <si>
    <t>Civit. X. Imperial. In. Ditionem. Gall. Concedunt. [Exergue :] Fides. Alsatiæ. D.</t>
  </si>
  <si>
    <t>https://gallica.bnf.fr/ark:/12148/bpt6k1041715f/f383.item.zoom ; https://catalogue.bnf.fr/ark:/12148/cb30545202h</t>
  </si>
  <si>
    <t>1688-07_316</t>
  </si>
  <si>
    <t>MG-1688-07_316</t>
  </si>
  <si>
    <t>https://gallica.bnf.fr/ark:/12148/bpt6k6267423w/f322.item</t>
  </si>
  <si>
    <t>[Feu d'artifice donné par M. Skelton, ambassadeur du roi d'Angleterre, pour la naissance du prince de Galles]*</t>
  </si>
  <si>
    <t>[La Planche du Feu]</t>
  </si>
  <si>
    <t>2918 : MONTROUGE, Château de</t>
  </si>
  <si>
    <t>feu d'artifice ; trophée ; statue ; cheval ; bas-relief ; piédestal ; soleil ; armoiries ; Prudence (personnification) ; Religion (personnification) ; combat</t>
  </si>
  <si>
    <t>462e3055-baa4-4ffa-bda0-76355bb63dab ; fbe6c54a-a311-4ce2-bf36-ff5a341a73e2</t>
  </si>
  <si>
    <t>stuart_jacques-françois_(1688-1766) ; Skelton</t>
  </si>
  <si>
    <t>Sur l'estampe : "Berain Invenit et delin. Dolivart Sculpsit".</t>
  </si>
  <si>
    <t>https://catalogue.bnf.fr/ark:/12148/cb410813997</t>
  </si>
  <si>
    <t>1688-08_246</t>
  </si>
  <si>
    <t>MG-1688-08_246</t>
  </si>
  <si>
    <t>https://gallica.bnf.fr/ark:/12148/bpt6k62592061/f250.item</t>
  </si>
  <si>
    <t>[Feu d'artifice donné par M. Skelton, pour la naissance du prince de Galles, à Paris]*</t>
  </si>
  <si>
    <t>2982 : PARIS, Collège des Écossais</t>
  </si>
  <si>
    <t>décor éphémère ; héraldique ; architecture ; sculpture ; emblématique</t>
  </si>
  <si>
    <t>feu d'artifice ; obélisque ; armoiries ; bas-relief ; piédestal ; cœur ; place ; enfant ; coquille ; perle ; mer ; chardon</t>
  </si>
  <si>
    <t>23,5 x 17,2 cm</t>
  </si>
  <si>
    <t>MG-1688-09a_237</t>
  </si>
  <si>
    <t>https://gallica.bnf.fr/ark:/12148/bpt6k6221484m/f252.item</t>
  </si>
  <si>
    <t>[Médaille représentant l'allégorie de Paris et de la Seine, avec en arrière-plan les portes Saint-Denis et Saint-Martin]*</t>
  </si>
  <si>
    <r>
      <rPr>
        <b/>
        <sz val="11"/>
        <color theme="1"/>
        <rFont val="Courier New"/>
        <family val="1"/>
      </rPr>
      <t xml:space="preserve">275813 : PARIS, Porte Saint-Denis ; </t>
    </r>
    <r>
      <rPr>
        <b/>
        <sz val="11"/>
        <color rgb="FFFF00FF"/>
        <rFont val="Courier New"/>
        <family val="1"/>
      </rPr>
      <t>8a50c156-6a09-4385-b5a8-4b3b7ce4e6b9 : Porte Saint-Martin</t>
    </r>
  </si>
  <si>
    <t>emblématique ; personnification des villes, des États et des fleuves ; architecture</t>
  </si>
  <si>
    <t>médaille ; arc de triomphe ; corne d'abondance ; Paris (personnification) ; Seine (personnification) ; navire ; bas-relief</t>
  </si>
  <si>
    <t>Sur l'estampe : "J. Dolivar fecit".</t>
  </si>
  <si>
    <t>Ornata. Et. Ampliata. Urbe [Exergue :] Lutetia.</t>
  </si>
  <si>
    <r>
      <rPr>
        <b/>
        <u/>
        <sz val="10"/>
        <color rgb="FF1155CC"/>
        <rFont val="Arial"/>
        <family val="2"/>
      </rPr>
      <t xml:space="preserve">https://www.parismuseescollections.paris.fr/fr/petit-palais/oeuvres/les-embellissements-de-paris-0#infos-principales </t>
    </r>
    <r>
      <rPr>
        <b/>
        <sz val="10"/>
        <rFont val="Arial"/>
        <family val="2"/>
      </rPr>
      <t xml:space="preserve">; </t>
    </r>
    <r>
      <rPr>
        <b/>
        <u/>
        <sz val="10"/>
        <color rgb="FF1155CC"/>
        <rFont val="Arial"/>
        <family val="2"/>
      </rPr>
      <t>https://collections.louvre.fr/en/ark:/53355/cl010408733</t>
    </r>
  </si>
  <si>
    <t>1688-10a_221</t>
  </si>
  <si>
    <t>https://gallica.bnf.fr/ark:/12148/bpt6k6257717x/f230.item</t>
  </si>
  <si>
    <t>[Revers d'une médaille de distinction accordée aux marins]*</t>
  </si>
  <si>
    <t>médaille ; ancre ; forteresse ; mer ; navire ; colonne ; gouvernail ; marin ; ville</t>
  </si>
  <si>
    <t>Sur l'estampe : "J. Dolivar fecit"</t>
  </si>
  <si>
    <t>Bello. Et. Commercio [Exergue :] M. DC. LXXX. D.</t>
  </si>
  <si>
    <r>
      <rPr>
        <b/>
        <u/>
        <sz val="10"/>
        <color rgb="FF1155CC"/>
        <rFont val="Arial"/>
        <family val="2"/>
      </rPr>
      <t>https://gallica.bnf.fr/ark:/12148/bpt6k1041715f/f391.item.zoom</t>
    </r>
    <r>
      <rPr>
        <b/>
        <sz val="10"/>
        <color rgb="FF000000"/>
        <rFont val="Arial"/>
        <family val="2"/>
      </rPr>
      <t xml:space="preserve"> ; </t>
    </r>
    <r>
      <rPr>
        <b/>
        <u/>
        <sz val="10"/>
        <color rgb="FF1155CC"/>
        <rFont val="Arial"/>
        <family val="2"/>
      </rPr>
      <t>https://catalogue.bnf.fr/ark:/12148/cb30545202h</t>
    </r>
  </si>
  <si>
    <t>1688-11a_283</t>
  </si>
  <si>
    <t>MG-1688-11a_283</t>
  </si>
  <si>
    <t>https://gallica.bnf.fr/ark:/12148/bpt6k62258617/f295.item</t>
  </si>
  <si>
    <t>emblématique ; religion ;</t>
  </si>
  <si>
    <t xml:space="preserve">médaille ; texte en hébreu ; bête de l'Apocalypse ; mer ; </t>
  </si>
  <si>
    <t>2cf217c2-2f60-4f94-8d27-febeab19b802</t>
  </si>
  <si>
    <t xml:space="preserve">Jurieu, Pierre [1637-1713] ; 84120 ; </t>
  </si>
  <si>
    <t>Petrus Jurieu. Ppr : et proph : rott.</t>
  </si>
  <si>
    <t>Datum est eios loquens magna et blasphemias. [Exergue :] Quis similis bestiæ 666 1687</t>
  </si>
  <si>
    <t>MG-1688-12a_131</t>
  </si>
  <si>
    <t>https://gallica.bnf.fr/ark:/12148/bpt6k62485608/f232.item</t>
  </si>
  <si>
    <t>Défaite de l'Aigle par le Dauphin</t>
  </si>
  <si>
    <t>[Défaite de Léopold Ier de Habsbourg par le dauphin de France]*</t>
  </si>
  <si>
    <t>[Défaite de l'Aigle par le Dauphin]</t>
  </si>
  <si>
    <t>cartes allégoriques et de galanterie ; héraldique</t>
  </si>
  <si>
    <t>montagne ; port ; main ; armée navale ; combat naval ; pièce d'artillerie ; soleil ; fleuve, rivière, ruisseau ; forteresse ; cheval ; armée ; drapeau ou étendard ; coq ; lézard ; cœur ; serpent ; abeille ; armoiries ; lion (animal) ; poisson (animal) ; colonne ; caducée ; laurier ; gerbe ; olivier ; griffon ; chevron</t>
  </si>
  <si>
    <t>5c9edf3a-330e-4c4f-8e61-c75a75e1b747 ; 851e0991-590a-4d26-97d7-cd90c1390b55</t>
  </si>
  <si>
    <t>louis_dauphin_de_france_(1661-1711) ; habsbourg_leopold_i_de_(1640-1705)</t>
  </si>
  <si>
    <t>Sur l'estampe : J. Dolivar Sculpsit".</t>
  </si>
  <si>
    <t>https://gallica.bnf.fr/ark:/12148/bpt6k62680566/f218.item</t>
  </si>
  <si>
    <t>[Médaille représentant Jacques II d'Angleterre, frappée à l'occasion de la naissance du prince de Galles]*</t>
  </si>
  <si>
    <t xml:space="preserve">médaille ; enfant ; lit ; </t>
  </si>
  <si>
    <t>0cea0d9b-75fc-4bbe-af49-20a7188d4783 ; 462e3055-baa4-4ffa-bda0-76355bb63dab</t>
  </si>
  <si>
    <t xml:space="preserve">jacques_ii_(1633-1701)_roi_dangleterre ; stuart_jacques-françois_(1688-1766) ; </t>
  </si>
  <si>
    <t>Sur l'estampe : "Dolivar Sculp."</t>
  </si>
  <si>
    <t>Jacobus II. G. Britanniarum imperator</t>
  </si>
  <si>
    <t>Felicitas publica. [Exergue :] Ob felicis s : m. Brit : Princ : C : nativ : 20 jun. 1688 Ig. Vitus eq : b. C marc dalbyville et sa : rom : imp: apudbat. Ableg : exc : C.C.</t>
  </si>
  <si>
    <t>1689-02a_125</t>
  </si>
  <si>
    <t>https://gallica.bnf.fr/ark:/12148/bpt6k6278097d/f127.item</t>
  </si>
  <si>
    <t>Jettons de l'année 1689</t>
  </si>
  <si>
    <t>[Jetons de l'année 1689]*</t>
  </si>
  <si>
    <t>[Jettons de l'année 1689]</t>
  </si>
  <si>
    <t>265 : VERSAILLES, Château, Trianon</t>
  </si>
  <si>
    <t>jetons ; soleil ; lion (animal) ; foudre ; ville ; forteresse ; navire ; bombe ; pièce d'artillerie ; phare ; port ; olivier ; Fleuve (personnification) ; fleuve, rivière, ruisseau ; roseau</t>
  </si>
  <si>
    <t>Sur l'estampe : "J. Dolivar del. et fe."</t>
  </si>
  <si>
    <t>1689-03a_170</t>
  </si>
  <si>
    <t>https://gallica.bnf.fr/ark:/12148/bpt6k6222753d/f198.item</t>
  </si>
  <si>
    <t>[Revers d'une médaille représentant le char du Soleil conduit par la Victoire]*</t>
  </si>
  <si>
    <t>emblématique ; personnification ; astrologie ; mythologie gréco-romaine</t>
  </si>
  <si>
    <t>médaille ; soleil ; cadran ou horloge ; balance ; bélier (zodiaque) ; char ; Victoire (personnification) ; poisson (zodiaque) ; cheval ; taureau (zodiaque) ; scorpion (zodiaque) ; capricorne ; sagittaire ; lion (zodiaque) ; vierge ; verseau</t>
  </si>
  <si>
    <t>Ortus. Solis. Gallici. [Exergue :] Sept. V. Hor. XI. Min XXIIL ante : merid. M. D. C. XXXVIII D</t>
  </si>
  <si>
    <t>https://collections.louvre.fr/en/ark:/53355/cl010393604</t>
  </si>
  <si>
    <t>https://gallica.bnf.fr/ark:/12148/bpt6k6437997k/f239.item</t>
  </si>
  <si>
    <t>[Monnaies de Naples]*</t>
  </si>
  <si>
    <t>[Les Monnayes de Naples]</t>
  </si>
  <si>
    <t>1284 : ROYAUME DE NAPLES ; 759 : ROYAUME D'ESPAGNE</t>
  </si>
  <si>
    <t>monnaie ; globe terrestre ; bouclier ; lion (animal) ; sceptre ; palme ; armoiries ; Victoire (personnification)</t>
  </si>
  <si>
    <t>Charles II (1661-1700), roi d'Espagne</t>
  </si>
  <si>
    <t>1689-05a_254</t>
  </si>
  <si>
    <t>https://gallica.bnf.fr/ark:/12148/bpt6k6220863h/f258.item</t>
  </si>
  <si>
    <t>[Représentation allégorique de la thèse de Rouvière sur la thériaque]*</t>
  </si>
  <si>
    <t>[La Figure Allégorique]</t>
  </si>
  <si>
    <t>emblématique ; héraldique ; mythologie gréco-romaine ; philosophie ; thèse</t>
  </si>
  <si>
    <t>char ; cheval ; vipère ; temple ; Chiron ; palmier ; fleuve, rivière, ruisseau ; île ; armoiries ; Apollon ; montagne ; Esculape ; serpent d'Epidaure ; soleil ; montagne ; chêne ; Heures</t>
  </si>
  <si>
    <t>Rouvière, Louis-Henry de [?-ca. 1712] ; rouviere_henry</t>
  </si>
  <si>
    <t>34,2 x 44 cm</t>
  </si>
  <si>
    <t>4822e333-ae92-43c7-b54f-ce7869891404</t>
  </si>
  <si>
    <t>Levesque, Laurent (16..-16..)</t>
  </si>
  <si>
    <t>Sur l'estampe : "Levesque fec". Il s'agit d'une illustration de thèse ; le Mercure la présente ainsi : "L'emblème qu'il mit au haut de sa thèse est curieuse."  Un exemplaire de la thèse dans sa totalité (illustration et position) est reproduite dans le catalogue de V. Meyer.</t>
  </si>
  <si>
    <r>
      <rPr>
        <b/>
        <sz val="10"/>
        <color theme="1"/>
        <rFont val="Arial"/>
        <family val="2"/>
      </rPr>
      <t xml:space="preserve">MEYER, Véronique, </t>
    </r>
    <r>
      <rPr>
        <b/>
        <i/>
        <sz val="10"/>
        <color theme="1"/>
        <rFont val="Arial"/>
        <family val="2"/>
      </rPr>
      <t>Pour la plus grande gloire du roi : Louis XIV en thèses</t>
    </r>
    <r>
      <rPr>
        <b/>
        <sz val="10"/>
        <color theme="1"/>
        <rFont val="Arial"/>
        <family val="2"/>
      </rPr>
      <t xml:space="preserve">, Rennes, Centre de recherche du château de Versailles/Presses universitaires de Rennes, 2017 ; MEYER, Véronique, </t>
    </r>
    <r>
      <rPr>
        <b/>
        <i/>
        <sz val="10"/>
        <color theme="1"/>
        <rFont val="Arial"/>
        <family val="2"/>
      </rPr>
      <t>Pour la plus grande gloire du roi : Louis XIV en thèses : Catalogue</t>
    </r>
    <r>
      <rPr>
        <b/>
        <sz val="10"/>
        <color theme="1"/>
        <rFont val="Arial"/>
        <family val="2"/>
      </rPr>
      <t>, Rennes, Centre de recherche du château de Versailles/Presses universitaires de Rennes, 2017, n° 122. 1689.2.28 ; https://www.persee.fr/docAsPDF/pharm_0035-2349_2010_num_97_367_22204.pdf</t>
    </r>
  </si>
  <si>
    <t>Bibliothèque municipale de Lyon, SJ Z 494 a</t>
  </si>
  <si>
    <t>https://gallica.bnf.fr/ark:/12148/bpt6k6248540h/f303.item</t>
  </si>
  <si>
    <t>[Revers d'une médaille de la vie du roi, frappée à l'occasion de l'ouverture de la guerre de Hollande]*</t>
  </si>
  <si>
    <t>médaille ; foudre ; fleuve, rivière, ruisseau ; Père Rhin (personnification) ; IJssel (personnification) ; montagne</t>
  </si>
  <si>
    <t xml:space="preserve">Sur l'estampe : "J. Dolivar fecit". D'après une médaille de Roussel, Jérôme (1663-1713) ; 84030. Sur la médaille : "H. Roussel. F." </t>
  </si>
  <si>
    <t>Perruptis. Bataviæ. Claustris. [Exergue : Terror. Et. Fuga. M. DC. LXXII. H. Roussel. F.</t>
  </si>
  <si>
    <t>1689-07_195</t>
  </si>
  <si>
    <t>https://gallica.bnf.fr/ark:/12148/bpt6k6366032d/f196.item</t>
  </si>
  <si>
    <t>[Objet décoratif en forme de char offert par Gianetto Semeria au roi]*</t>
  </si>
  <si>
    <t>[La figure du Char]*</t>
  </si>
  <si>
    <t>objets décoratifs et d'apparat ; héraldique ; personnification</t>
  </si>
  <si>
    <t xml:space="preserve">char ; coq ; armoiries ; Vents ; perle ; diamant ; soleil ; Temps (personnification) </t>
  </si>
  <si>
    <t>Sur l'estampe : "Dolivar. Del. et Fe."</t>
  </si>
  <si>
    <t>1689-08_356</t>
  </si>
  <si>
    <t>https://gallica.bnf.fr/ark:/12148/bpt6k62280459/f360.item</t>
  </si>
  <si>
    <t>[Plan de Mayence]*</t>
  </si>
  <si>
    <t>[Le Plan de Mayence]</t>
  </si>
  <si>
    <t>1209 : MAYENCE</t>
  </si>
  <si>
    <t>forteresse</t>
  </si>
  <si>
    <t>Sur l'estampe : "J Dolivar fecit".</t>
  </si>
  <si>
    <t>1689-09_239</t>
  </si>
  <si>
    <t>https://gallica.bnf.fr/ark:/12148/bpt6k6334267v/f247.item</t>
  </si>
  <si>
    <t>[Revers d'une médaille frappée à l'occasion de l'entrée de la reine dans Paris]*</t>
  </si>
  <si>
    <t>médaille ; char ; cheval ; amours ; armoiries ; sceptre</t>
  </si>
  <si>
    <t xml:space="preserve">marie-therese_(1638-1683)_reine_de_france ; </t>
  </si>
  <si>
    <r>
      <rPr>
        <b/>
        <sz val="10"/>
        <rFont val="Arial"/>
        <family val="2"/>
      </rPr>
      <t xml:space="preserve">Sur l'estampe : "Dolivar fecit". D'après une médaille de </t>
    </r>
    <r>
      <rPr>
        <b/>
        <u/>
        <sz val="10"/>
        <color rgb="FF1155CC"/>
        <rFont val="Arial"/>
        <family val="2"/>
      </rPr>
      <t>Mauger, Jean (1648-1722)</t>
    </r>
    <r>
      <rPr>
        <b/>
        <sz val="10"/>
        <rFont val="Arial"/>
        <family val="2"/>
      </rPr>
      <t>. Sur la médaille : "Mauger F."</t>
    </r>
  </si>
  <si>
    <t>Adventui. Reginæ. Felicissimo. [Exergue :] Lutetia M. DC. LX. Mauger F.</t>
  </si>
  <si>
    <r>
      <rPr>
        <b/>
        <u/>
        <sz val="10"/>
        <color rgb="FF1155CC"/>
        <rFont val="Arial"/>
        <family val="2"/>
      </rPr>
      <t>https://gallica.bnf.fr/ark:/12148/bpt6k1041715f/f139.item.zoom</t>
    </r>
    <r>
      <rPr>
        <b/>
        <sz val="10"/>
        <rFont val="Arial"/>
        <family val="2"/>
      </rPr>
      <t xml:space="preserve"> ; </t>
    </r>
    <r>
      <rPr>
        <b/>
        <u/>
        <sz val="10"/>
        <color rgb="FF1155CC"/>
        <rFont val="Arial"/>
        <family val="2"/>
      </rPr>
      <t>https://catalogue.bnf.fr/ark:/12148/cb30545202h</t>
    </r>
  </si>
  <si>
    <t>1689-10_242</t>
  </si>
  <si>
    <t>https://gallica.bnf.fr/ark:/12148/bpt6k6284491b/f248.item</t>
  </si>
  <si>
    <t>[Médaille représentant Guillaume d'Orange]*</t>
  </si>
  <si>
    <t>aae46a2c-35ad-44ab-8713-42db5eefcc4e</t>
  </si>
  <si>
    <t xml:space="preserve">guillaume_iii_(1650-1702)_roi_dangleterre ; </t>
  </si>
  <si>
    <t>M. Wilh. Henr. Pa. Aur. M britann. Tyrann. [Exergue :] I. Semlizing.</t>
  </si>
  <si>
    <t>Ecce. Manus. Absalom. [Exergue :] Gelvckigh. Holland</t>
  </si>
  <si>
    <t>1689-11_317</t>
  </si>
  <si>
    <t>https://gallica.bnf.fr/ark:/12148/bpt6k6261473x/f321.item</t>
  </si>
  <si>
    <t>[Médaille représentant J.-B. Colbert]*</t>
  </si>
  <si>
    <t xml:space="preserve">médaille ; dragon du jardin des Hespérides ; </t>
  </si>
  <si>
    <t>b0af38da-e291-43d7-9bb5-4fd4a173ec33</t>
  </si>
  <si>
    <t xml:space="preserve">seignelay_jean-baptiste_colbert_(1651-1690)_marquis_de ; </t>
  </si>
  <si>
    <t>13,4 x 7,5 cm</t>
  </si>
  <si>
    <r>
      <rPr>
        <b/>
        <sz val="10"/>
        <color theme="1"/>
        <rFont val="Arial"/>
        <family val="2"/>
      </rPr>
      <t>Sur l'estampe : "Dolivar fe". Sur l'avers de la médaille :</t>
    </r>
    <r>
      <rPr>
        <b/>
        <sz val="10"/>
        <color theme="1"/>
        <rFont val="Arial"/>
        <family val="2"/>
      </rPr>
      <t xml:space="preserve"> "R".</t>
    </r>
  </si>
  <si>
    <t>Joan. Bapt. Colbert. Regni. Administer. Regi. Ab. Intimis. Consilils. Et. Mandatis. [Exergue :] R</t>
  </si>
  <si>
    <t>Abstinet. Et. Servat [Exergue :] 1674. R</t>
  </si>
  <si>
    <t>1689-12_227</t>
  </si>
  <si>
    <t>MG-1689-12_227</t>
  </si>
  <si>
    <t>https://gallica.bnf.fr/ark:/12148/bpt6k6221912v/f237.item</t>
  </si>
  <si>
    <t>[Revers d'une médaille de la vie du roi qui représente la ville de Strasbourg et les forts à la frontière avec l'Allemagne]*</t>
  </si>
  <si>
    <t>médaille ; forteresse ; fleuve, rivière, ruisseau ; île ; citadelle</t>
  </si>
  <si>
    <t>Clausa germanis gallia [Exergue :] Argentorati. Arces. Ad. Rhenum. M. DC. LXXXIII</t>
  </si>
  <si>
    <t>https://gallica.bnf.fr/ark:/12148/bpt6k1041715f/f413.item.zoom ; ttps://catalogue.bnf.fr/ark:/12148/cb30545202h</t>
  </si>
  <si>
    <t>1690-01_154</t>
  </si>
  <si>
    <r>
      <rPr>
        <b/>
        <sz val="10"/>
        <color rgb="FF000000"/>
        <rFont val="&quot;Times New Roman&quot;"/>
      </rPr>
      <t>Bibliothèque municipale de Lyon, SJ Z 494 a</t>
    </r>
    <r>
      <rPr>
        <b/>
        <sz val="10"/>
        <color rgb="FFFF00FF"/>
        <rFont val="&quot;Times New Roman&quot;"/>
      </rPr>
      <t xml:space="preserve"> (https://books.google.fr/books?id=Nbl-iCxiyO4C&amp;hl=fr&amp;pg=PA1#v=onepage&amp;q&amp;f=false,)</t>
    </r>
  </si>
  <si>
    <r>
      <rPr>
        <b/>
        <u/>
        <sz val="10"/>
        <color rgb="FF1155CC"/>
        <rFont val="Arial"/>
        <family val="2"/>
      </rPr>
      <t>https://gallica.bnf.fr/ark:/12148/bpt6k62604815/f158.item</t>
    </r>
    <r>
      <rPr>
        <b/>
        <sz val="10"/>
        <color rgb="FF000000"/>
        <rFont val="Arial"/>
        <family val="2"/>
      </rPr>
      <t xml:space="preserve"> ; </t>
    </r>
    <r>
      <rPr>
        <b/>
        <u/>
        <sz val="10"/>
        <color rgb="FF1155CC"/>
        <rFont val="Arial"/>
        <family val="2"/>
      </rPr>
      <t>https://books.google.fr/books?id=Nbl-iCxiyO4C&amp;hl=fr&amp;pg=PA1#v=onepage&amp;q&amp;f=false</t>
    </r>
  </si>
  <si>
    <t>[Médaille de la vie du roi figurant l'Afrique soumise  – la paix imposée aux pirates algériens par Louis XIV]*</t>
  </si>
  <si>
    <t>emblématique ; personnification des villes, des États et des fleuves</t>
  </si>
  <si>
    <t>médaille ; Afrique (personnification) ; mer ; navire</t>
  </si>
  <si>
    <t>Sur l'estampe : "J. Dolivar Sculpsit". D'après une médaille de Chéron, Charles Jean-François ; 84028. Sur la médaille : "F. Cheron".</t>
  </si>
  <si>
    <t>Confecto Bello Piratico [Exergue :] Africa.Supplex. Ann. M. DC. LXXXIV.</t>
  </si>
  <si>
    <r>
      <rPr>
        <b/>
        <u/>
        <sz val="10"/>
        <color rgb="FF1155CC"/>
        <rFont val="Arial"/>
        <family val="2"/>
      </rPr>
      <t>Une autre médaille sur le même sujet dont la composition est proche et la légende identique,  attribuée à Mauger, pourrait être le modèle de celle-ci.https://mnm.webmuseo.com/ws/musee-national-marine/app/collection/record/37028 ; https://www.inumis.com/shop/louis-xiv-paix-imposee-aux-pirates-algeriens-par-mauger-1684-paris-1705318/</t>
    </r>
    <r>
      <rPr>
        <b/>
        <u/>
        <sz val="10"/>
        <color rgb="FF000000"/>
        <rFont val="Arial"/>
        <family val="2"/>
      </rPr>
      <t xml:space="preserve"> ; </t>
    </r>
    <r>
      <rPr>
        <b/>
        <u/>
        <sz val="10"/>
        <color rgb="FF1155CC"/>
        <rFont val="Arial"/>
        <family val="2"/>
      </rPr>
      <t>https://gallica.bnf.fr/ark:/12148/bpt6k1041715f/f433.item.zoom</t>
    </r>
    <r>
      <rPr>
        <b/>
        <u/>
        <sz val="10"/>
        <color rgb="FF1155CC"/>
        <rFont val="Arial"/>
        <family val="2"/>
      </rPr>
      <t xml:space="preserve"> ; </t>
    </r>
  </si>
  <si>
    <t>1690-02_151</t>
  </si>
  <si>
    <t>MG-1690-02_151</t>
  </si>
  <si>
    <t>https://gallica.bnf.fr/ark:/12148/bpt6k6227653m/f156.item</t>
  </si>
  <si>
    <t>[Jettons de l'année 1690]</t>
  </si>
  <si>
    <t>[Jetons de l'année 1690]*</t>
  </si>
  <si>
    <t>94 : PARIS, Hôtel des Invalides</t>
  </si>
  <si>
    <t>emblématique ; mythologie gréco-romaine ; architecture</t>
  </si>
  <si>
    <t xml:space="preserve">jetons ; Neptune ; pièce d'artillerie ; camp militaire ; soleil ; char ; cheval ; étoile ; camp militaire ; lion (animal) ; mer ; ruche ; flèche ; montagne ; </t>
  </si>
  <si>
    <t>15,3 x 15,5 cm</t>
  </si>
  <si>
    <t>1690-03_212</t>
  </si>
  <si>
    <t>https://gallica.bnf.fr/ark:/12148/bpt6k6228302k/f214.item</t>
  </si>
  <si>
    <t>[Médaille représentant Charles Le Brun]*</t>
  </si>
  <si>
    <t>emblématique ; Beaux-Arts</t>
  </si>
  <si>
    <t xml:space="preserve">médaille ; piédestal ; </t>
  </si>
  <si>
    <t xml:space="preserve">le_brun_charles_(1619-1690) ; </t>
  </si>
  <si>
    <r>
      <rPr>
        <b/>
        <sz val="10"/>
        <color theme="1"/>
        <rFont val="Arial"/>
        <family val="2"/>
      </rPr>
      <t xml:space="preserve">Sur l'estampe : "J. Dolivar fecit". Sur l'avers de la médaille : </t>
    </r>
    <r>
      <rPr>
        <b/>
        <sz val="10"/>
        <color theme="1"/>
        <rFont val="Arial"/>
        <family val="2"/>
      </rPr>
      <t>"L. Bernard".</t>
    </r>
  </si>
  <si>
    <t>Car. Le. Brun. Eques. Prim. Pictor. Regis. [Exergue :] M. DC.LXXXIV. L. Bernard</t>
  </si>
  <si>
    <t>Hæ. Tibi. Erunt. Artes.</t>
  </si>
  <si>
    <t>1690-04_211</t>
  </si>
  <si>
    <t>Nouvelle Montre et Pendule sans Roüe de champs, ni Roüe de rencontre, par un nouvel Echapage</t>
  </si>
  <si>
    <t>[Figure représentant le mécanisme d'une montre présenté par Comiers à l'Académie Royale des Sciences*</t>
  </si>
  <si>
    <t>[Nouvelle Montre et Pendule sans Roüe de champs, ni Roüe de rencontre]</t>
  </si>
  <si>
    <t>mécanique</t>
  </si>
  <si>
    <t>12,3 x 6,5 cm</t>
  </si>
  <si>
    <t>SELMECI CASTIONI, Barbara, PASCHOUD, Adrien, « Le Mercure galant (1672-1710) : un jalon significatif sur la voie de l'encyclopédisme des Lumières », Recherches sur Diderot et sur l'Encyclopédie, n°51, 2016, mis en ligne le 25 novembre 2018. URL : http://journals.openedition.org/rde/5394 ; DOI : https://doi.org/10.4000/rde.5394</t>
  </si>
  <si>
    <t>1690-05_057</t>
  </si>
  <si>
    <t>https://gallica.bnf.fr/ark:/12148/bpt6k6514938g/f63.item</t>
  </si>
  <si>
    <t>Steganographia</t>
  </si>
  <si>
    <t>[Table des nombres dite Steganographia]*</t>
  </si>
  <si>
    <t>alphabets et écritures codées ; héraldique ; mathématiques ;</t>
  </si>
  <si>
    <t>table d'écriture codée ; armoiries ; cloche</t>
  </si>
  <si>
    <t>Planche illustrant le traité de Comiers "L'art d'ecrire &amp; de parler occultement &amp; sans soupçon."</t>
  </si>
  <si>
    <t>https://www.persee.fr/doc/crai_0065-0536_2014_num_158_2_95032</t>
  </si>
  <si>
    <t>1690-06_142</t>
  </si>
  <si>
    <t>https://gallica.bnf.fr/ark:/12148/bpt6k6228057h/f148.item</t>
  </si>
  <si>
    <t>[Figure : cadran]*</t>
  </si>
  <si>
    <t>cadran ou horloge ; armoiries</t>
  </si>
  <si>
    <t>Sur l'estampe : "Comiers Aveugle Royal". Planche illustrant la "Seconde partie : De l'Art d'écrire occultement &amp; sans soupçon".</t>
  </si>
  <si>
    <t>1690-07a_320</t>
  </si>
  <si>
    <t>https://gallica.bnf.fr/ark:/12148/bpt6k6228810v/f327.item</t>
  </si>
  <si>
    <t>L'Armée Navale du Roy qui a fait voile de la rade de Brest le 23 juin 1690</t>
  </si>
  <si>
    <t>[Disposition de l'armée navale dans la rade de Brest]*</t>
  </si>
  <si>
    <t>[L'Armée navale]</t>
  </si>
  <si>
    <t>1938 : BREST, Rade</t>
  </si>
  <si>
    <t>1690-08_238</t>
  </si>
  <si>
    <t>https://gallica.bnf.fr/ark:/12148/bpt6k6237106h/f244.item</t>
  </si>
  <si>
    <t>[Revers d'une médaille de la vie du roi, sur la paix de 1668]*</t>
  </si>
  <si>
    <t xml:space="preserve">médaille ; Paix (personnification) ; rameau d'olivier ; </t>
  </si>
  <si>
    <t>Sur l'estampe : "Dolivar fecit". D'après une médaille frappée en 1661 (voir l'article afférent à l'estampe).</t>
  </si>
  <si>
    <t>Pacem. praeferre. triumphis. [Exergue :] Vota. Orbis. 1668.</t>
  </si>
  <si>
    <t>https: ; / www.britishmuseum.org ; collection ; object ; C_M-2345</t>
  </si>
  <si>
    <t>MG-1690-09_187</t>
  </si>
  <si>
    <t>https://gallica.bnf.fr/ark:/12148/bpt6k6228125w/f196.item</t>
  </si>
  <si>
    <t>[Revers d'une médaille de la vie du roi, représentant l'armistice et la prise de Buda]*</t>
  </si>
  <si>
    <t>médaille ; soleil ; citadelle ; bataille ; armée ; forteresse ; cheval</t>
  </si>
  <si>
    <t>Sur l'estampe : "Jean Dolivar fecit".</t>
  </si>
  <si>
    <t>Me stante triumphant [Exergue :] L. armis, armistitidL. Buda. capta. 1686</t>
  </si>
  <si>
    <t>1690-11_157</t>
  </si>
  <si>
    <t>https://gallica.bnf.fr/ark:/12148/bpt6k62789392/f164.item</t>
  </si>
  <si>
    <t>[Portrait de Charles V, duc de Lorraine et de Bar]*</t>
  </si>
  <si>
    <t>1813 : DUCHÉ DE LORRAINE ET DE BAR</t>
  </si>
  <si>
    <t xml:space="preserve">médaille ; église ; obélisque ; aigle ; fleuve, rivière, ruisseau ; montagne ; foudre ; </t>
  </si>
  <si>
    <t>017d9433-0f75-47f0-83ea-d634db2a88a9</t>
  </si>
  <si>
    <t xml:space="preserve">lorraine_charles_v_(1643-1690)_duc_de ; </t>
  </si>
  <si>
    <t>Sur l'estampe : "Dolivar Sculpsit". D'après une médaille de Chéron, Charles Jean-François ; 84028. Sur l'avers de la médaille : "Cheron".</t>
  </si>
  <si>
    <t>Carolus. V. D. F. DVX. Lotaringiæ. Mar. D. C. B. G. [Exergue :] Cheron</t>
  </si>
  <si>
    <t>Et valide et subito [Exergue :] Pann. Vindicata</t>
  </si>
  <si>
    <t>1690-12_271</t>
  </si>
  <si>
    <t>https://gallica.bnf.fr/ark:/12148/bpt6k62275872/f277.item</t>
  </si>
  <si>
    <t>[Médaille représentant le pape Alexandre VIII]*</t>
  </si>
  <si>
    <t xml:space="preserve">emblématique ; héraldique ; religion ; </t>
  </si>
  <si>
    <t>médaille ; pape ; armoiries</t>
  </si>
  <si>
    <t>4b4bb6df-9ee4-45f9-9221-2ae51e3a96c0</t>
  </si>
  <si>
    <t xml:space="preserve">alexandre_viii_pape_(sed_1689-1691) ; </t>
  </si>
  <si>
    <r>
      <rPr>
        <b/>
        <sz val="10"/>
        <rFont val="Arial"/>
        <family val="2"/>
      </rPr>
      <t xml:space="preserve">Sur l'estampe : J. Dolivar fecit." D'après une médaille de Müller, </t>
    </r>
    <r>
      <rPr>
        <b/>
        <u/>
        <sz val="10"/>
        <color rgb="FF1155CC"/>
        <rFont val="Arial"/>
        <family val="2"/>
      </rPr>
      <t>Philippe Heinrich (1654-1719)</t>
    </r>
    <r>
      <rPr>
        <b/>
        <sz val="10"/>
        <rFont val="Arial"/>
        <family val="2"/>
      </rPr>
      <t>. Sur l'avers de la médaille : "P. H. M."</t>
    </r>
  </si>
  <si>
    <t>Alexander VIII. Pont. Max. Creat. A°. 1689. D. 6. Oct. [Exergue :] P. H. M.</t>
  </si>
  <si>
    <t>Nomine deposito petrus incipitesse sedendo ottobonus, toto corde sitergo bonus. Eveniunt venetis vegetis iam prospera quævis id satis ipsere cens papalatine probas.</t>
  </si>
  <si>
    <t>1691-01_227</t>
  </si>
  <si>
    <t>MG-1691-01_227</t>
  </si>
  <si>
    <t>https://gallica.bnf.fr/ark:/12148/bpt6k6228751f/f233.item</t>
  </si>
  <si>
    <t>emblématique ; personnification des vices et des vertus ;</t>
  </si>
  <si>
    <t>0676dca8-5bb2-4da7-9829-7bf4fbaf1ef0</t>
  </si>
  <si>
    <t>Vermeulen, Cornelis (?1644-?1708) ; 84040</t>
  </si>
  <si>
    <t>Sur l'estampe : "Vermeulen. Sculp." D'après une médaille de Dubois-Guérin, Charles (fl.1691) ; 84136. Sur le revers de la médaille : "C Dubois-Guerin". Voir l'article afférent à l'estampe.</t>
  </si>
  <si>
    <t>Lud. mag. religionis assertor et vindex [Exergue :] M. DC. LXXXV Vermeulen. Sculp</t>
  </si>
  <si>
    <t>Ludovici Magni de haeresi triumphantis statuam ex marmore privatis in ardibus positam hoc in numismate effingi et cudi curavit devotis maiestati eivs C Dubois-Guerin.</t>
  </si>
  <si>
    <t>1691-02_177</t>
  </si>
  <si>
    <t>MG-1691-02_177</t>
  </si>
  <si>
    <t>https://gallica.bnf.fr/ark:/12148/bpt6k6248453s/f182.item</t>
  </si>
  <si>
    <t>[Revers d'une médaille de la vie du roi, Louis XIV en Neptune]*</t>
  </si>
  <si>
    <t xml:space="preserve">médaille ; combat naval ; char ; trident ; drapeau ou étendard ; navire ; </t>
  </si>
  <si>
    <t>Sur l'estampe : J. Dolivar fe."</t>
  </si>
  <si>
    <r>
      <rPr>
        <b/>
        <sz val="10"/>
        <color rgb="FF000000"/>
        <rFont val="&quot;Times New Roman&quot;"/>
      </rPr>
      <t>Maturate fugam, illi imperium pelagi.</t>
    </r>
    <r>
      <rPr>
        <b/>
        <sz val="10"/>
        <color rgb="FF9900FF"/>
        <rFont val="&quot;Times New Roman&quot;"/>
      </rPr>
      <t xml:space="preserve"> [Dépéchez-vous de fuir, Il est le Maître de la Mer.]</t>
    </r>
    <r>
      <rPr>
        <b/>
        <sz val="10"/>
        <color rgb="FF000000"/>
        <rFont val="&quot;Times New Roman&quot;"/>
      </rPr>
      <t xml:space="preserve"> [Exergue :] Pugna.ad beves. ang. bat q una fug D. XIVL. 1690</t>
    </r>
  </si>
  <si>
    <t>https://books.openedition.org/pur/103724?lang=fr</t>
  </si>
  <si>
    <t>1691-03_131</t>
  </si>
  <si>
    <t>MG-1691-03_131</t>
  </si>
  <si>
    <t>Annonce la parution prochaine des jetons de l'année.</t>
  </si>
  <si>
    <t>https://gallica.bnf.fr/ark:/12148/bpt6k6485064v/f139.item</t>
  </si>
  <si>
    <t>[Jettons de l'année 1691]</t>
  </si>
  <si>
    <t>[Jetons de l'année 1691]*</t>
  </si>
  <si>
    <t>[Les Jetons]</t>
  </si>
  <si>
    <t>jetons ; pièce d'artillerie ; char ; trident ; montagne ; église ; Neptune ; cheval ; mer ; colonne ; montagne ; Vulcain ; Vents ; foudre ; montagne ; enclume ; navire ; géant ; cigogne ; raisin</t>
  </si>
  <si>
    <t>1691-04_162</t>
  </si>
  <si>
    <t>MG-1691-04_162</t>
  </si>
  <si>
    <t>https://gallica.bnf.fr/ark:/12148/bpt6k62790487/f168.item</t>
  </si>
  <si>
    <t>617 : ROYAUME DE GRANDE-BRETAGNE ; 558 : PROVINCES UNIES</t>
  </si>
  <si>
    <t>médaille ; combat naval ; drapeau ou étendard ; mer ; navire</t>
  </si>
  <si>
    <t>Sur l'estampe : "J. Dolivar fecit."</t>
  </si>
  <si>
    <t>Imperium maris assertum [Exergue :] AngBat.q.unadeV.adBevers.D.X.IVL MDCLXXXX</t>
  </si>
  <si>
    <t>Ludovici magni de hæresi triumphantis statuam ex marmore privatis in ædibus positam hoc in numismate effingi et cuvi curavit devotus majestati eius C Dubuois-Guerin.</t>
  </si>
  <si>
    <t>1691-05_149</t>
  </si>
  <si>
    <t>https://gallica.bnf.fr/ark:/12148/bpt6k6260870r/f149.item</t>
  </si>
  <si>
    <t>[Plan des attaques de Mons]</t>
  </si>
  <si>
    <t>[Plan légendé des attaques de Mons]*</t>
  </si>
  <si>
    <t>[Le plan des attaques de Mons]</t>
  </si>
  <si>
    <t>1076 : MONS</t>
  </si>
  <si>
    <t>forteresse ; canal ; camp militaire</t>
  </si>
  <si>
    <t>1691-06_208</t>
  </si>
  <si>
    <t>MG-1691-06_208</t>
  </si>
  <si>
    <t>https://gallica.bnf.fr/ark:/12148/bpt6k64850658/f210.item</t>
  </si>
  <si>
    <t>[Médaille frappée à l'occasion du mariage du roi d'Espagne]*</t>
  </si>
  <si>
    <t xml:space="preserve">médaille ; armoiries ; piédestal ; </t>
  </si>
  <si>
    <t>492a1279-2e89-4195-b02d-590e4b62c9af ; fd1e5deb-49d0-45b4-842a-190db6459523</t>
  </si>
  <si>
    <t xml:space="preserve">charles_ii_(1661-1700)_roi_despagne ; pfalz-neuburg_marie-anne_von_(1667-1740) ; </t>
  </si>
  <si>
    <t>Sur l'estampe : "J. Dolivart fecit".</t>
  </si>
  <si>
    <t>Carolus rex hispaniæ duxit annam neob urgiæ [Exergue :] PH. RF</t>
  </si>
  <si>
    <t>Infantes. Mari. Anna. Dabit. Quod. Ganda. Precatur. [Exergue :] SPQG M. DC.XXXIX</t>
  </si>
  <si>
    <t>1691-07_181</t>
  </si>
  <si>
    <t>MG-1691-07_181</t>
  </si>
  <si>
    <t>https://gallica.bnf.fr/ark:/12148/bpt6k6261188b/f183.item</t>
  </si>
  <si>
    <t>[Revers d'une médaille frappée à l'occasion de la victoire de Mons]*</t>
  </si>
  <si>
    <t>1076 : 
MONS</t>
  </si>
  <si>
    <t>emblématique ; personnification ; vie militaire ; personnification des villes, des États et des fleuves ; mythologie gréco-romaine</t>
  </si>
  <si>
    <t xml:space="preserve">médaille ; ville ; trophée ; Victoire (personnification) ; Mons (personnification)  ; palme ; clef ; trophée ; </t>
  </si>
  <si>
    <r>
      <rPr>
        <b/>
        <sz val="10"/>
        <color rgb="FF000000"/>
        <rFont val="&quot;Times New Roman&quot;"/>
      </rPr>
      <t xml:space="preserve">Sur l'estampe : "J. Dolivar fecit". </t>
    </r>
    <r>
      <rPr>
        <b/>
        <sz val="10"/>
        <color rgb="FFFF00FF"/>
        <rFont val="&quot;Times New Roman&quot;"/>
      </rPr>
      <t>D'après une médaille de Nilis, Jacques (fl. 1688-1693) ; 84096.</t>
    </r>
  </si>
  <si>
    <t>Giganteos sic fulminatausus [Exergue :] Montibus eversis IXAP. MDCXCI.</t>
  </si>
  <si>
    <r>
      <rPr>
        <b/>
        <sz val="10"/>
        <color rgb="FF000000"/>
        <rFont val="Arial"/>
        <family val="2"/>
      </rPr>
      <t xml:space="preserve">TURCKHEIM-PEY, Sylvie de, </t>
    </r>
    <r>
      <rPr>
        <b/>
        <i/>
        <sz val="10"/>
        <color rgb="FF000000"/>
        <rFont val="Arial"/>
        <family val="2"/>
      </rPr>
      <t>Médailles du Grand Siècle: Histoire métallique de Louis XIV,</t>
    </r>
    <r>
      <rPr>
        <b/>
        <sz val="10"/>
        <color rgb="FF000000"/>
        <rFont val="Arial"/>
        <family val="2"/>
      </rPr>
      <t xml:space="preserve"> Paris, Bibliothèque nationale de France, 2004, p. 31-32.</t>
    </r>
  </si>
  <si>
    <t>1691-07_302</t>
  </si>
  <si>
    <t>[L'Ordre de bataille]</t>
  </si>
  <si>
    <t>1691-08_161</t>
  </si>
  <si>
    <t>https://gallica.bnf.fr/ark:/12148/bpt6k6257820r/f165.item</t>
  </si>
  <si>
    <t>[Revers d'une médaille de la vie du roi, frappée à l'occasion du rétablissement de l'évêque de Strasbourg]*</t>
  </si>
  <si>
    <t>emblématique ; personnification des vices et des vertus ; héraldique ; religion ; personnification des villes, des États et des fleuves</t>
  </si>
  <si>
    <t>médaille ; armoiries ; lion (animal) ; colonne ; Religion (personnification) ; Père Rhin (personnification) ; roseau</t>
  </si>
  <si>
    <t>cdb2a1a1-0856-41ee-8b78-d27066612197</t>
  </si>
  <si>
    <t>Furstemberg_guillaume-egon_de_(1629-1704) ;</t>
  </si>
  <si>
    <t>Sacra restituta [Exergue :] Argentorat. Recept. M. DC.LXXXI.</t>
  </si>
  <si>
    <t>1691-09_155</t>
  </si>
  <si>
    <t>https://gallica.bnf.fr/ark:/12148/bpt6k6227826d/f159.item</t>
  </si>
  <si>
    <t>[Revers d'une médaille de la vie du roi, frappée pour la victoire des troupes de Louis XIV à la bataille de Saint-Gothard]*</t>
  </si>
  <si>
    <t>298003 : SAINT-GOTHARD</t>
  </si>
  <si>
    <t>emblématique ; personnification ; vie militaire ; mythologie gréco-romaine</t>
  </si>
  <si>
    <t>médaille ; trophée ; Victoire (personnification) ; palme</t>
  </si>
  <si>
    <t>Germania servata [Exergue :] 1666</t>
  </si>
  <si>
    <t>https://gallica.bnf.fr/ark:/12148/bpt6k1041715f/f180.item.zoom : https://catalogue.bnf.fr/ark:/12148/cb30545202h</t>
  </si>
  <si>
    <t>1691-10_161</t>
  </si>
  <si>
    <t>https://gallica.bnf.fr/ark:/12148/bpt6k6257393x/f165.item</t>
  </si>
  <si>
    <t>[Médaille représentant le cardinal Pignatelli lors de son élection pontificale]*</t>
  </si>
  <si>
    <t>emblématique ; personnification des vices et des vertus ; héraldique ; religion</t>
  </si>
  <si>
    <t>médaille ; armoiries ; Renommée (personnification) ; Justice (personnification) ; épée ; balance ; trophée ; palme</t>
  </si>
  <si>
    <t>339aefe3-b5ca-4020-b32e-ca610897ac8e</t>
  </si>
  <si>
    <t>innocent_xii_pape_(sed_1691-1700)</t>
  </si>
  <si>
    <r>
      <rPr>
        <b/>
        <sz val="10"/>
        <rFont val="Arial"/>
        <family val="2"/>
      </rPr>
      <t xml:space="preserve">Sur l'estampe : "J. Dolivar fecit". D'après une médaille de </t>
    </r>
    <r>
      <rPr>
        <b/>
        <u/>
        <sz val="10"/>
        <color rgb="FF1155CC"/>
        <rFont val="Arial"/>
        <family val="2"/>
      </rPr>
      <t>Müller, Philippe Heinrich (1654-1719)</t>
    </r>
    <r>
      <rPr>
        <b/>
        <sz val="10"/>
        <rFont val="Arial"/>
        <family val="2"/>
      </rPr>
      <t>. Sur l'avers de la médaille : "P. H. M."</t>
    </r>
  </si>
  <si>
    <t>LNNOC. XII. Pont. Max. Creat. D. XII IVL MD CXCI. P. H. M.</t>
  </si>
  <si>
    <t>Vota Publica. [Exergue :] P. H. M.</t>
  </si>
  <si>
    <t>1691-11_156</t>
  </si>
  <si>
    <t>MG-1691-11_156</t>
  </si>
  <si>
    <t>https://gallica.bnf.fr/ark:/12148/bpt6k62278287/f158.item</t>
  </si>
  <si>
    <t>[Médaille frappée à l'occasion du mariage du prince de Neubourg avec Anna Maria Luisa de' Medici]*</t>
  </si>
  <si>
    <t>1175 : CERCLE DE WESTPHALIE</t>
  </si>
  <si>
    <t>médaille ; armoiries ; armée ; armée navale ; mer ; trône ; cheval</t>
  </si>
  <si>
    <t>64ca672e-0766-4a9a-b978-969ff796f7fc</t>
  </si>
  <si>
    <t>0a3d2617-b152-4832-8e24-f16a740f7b34</t>
  </si>
  <si>
    <t>Médicis_Anne_Marie-Louise_de_(1667-1743) ; 84140 ; neubourg-wittelsbach_jean-guillaume_(1656-1716)</t>
  </si>
  <si>
    <r>
      <rPr>
        <b/>
        <sz val="10"/>
        <rFont val="Arial"/>
        <family val="2"/>
      </rPr>
      <t xml:space="preserve">Sur l'estampe : "J. Dolivar fecit". D'après une médaille de </t>
    </r>
    <r>
      <rPr>
        <b/>
        <u/>
        <sz val="10"/>
        <color rgb="FF1155CC"/>
        <rFont val="Arial"/>
        <family val="2"/>
      </rPr>
      <t>Müller, Philippe Heinrich (1654-1719)</t>
    </r>
    <r>
      <rPr>
        <b/>
        <sz val="10"/>
        <rFont val="Arial"/>
        <family val="2"/>
      </rPr>
      <t>. Sur l'avers de la médaille : "P. H. M."</t>
    </r>
  </si>
  <si>
    <t>Fidei Triumohis. [Exergue :] P. H. M.</t>
  </si>
  <si>
    <t>Sic Undique Floret.</t>
  </si>
  <si>
    <t>1691-12_242</t>
  </si>
  <si>
    <t>https://gallica.bnf.fr/ark:/12148/bpt6k6310979p/f242.item</t>
  </si>
  <si>
    <t>[Revers d'une médaille de la vie du roi sur la victoire de Fleurus]*</t>
  </si>
  <si>
    <t>1057 : FLEURUS</t>
  </si>
  <si>
    <t xml:space="preserve">médaille ; armée ; armée navale ; bataille ; combat naval ; </t>
  </si>
  <si>
    <t>Terraque, marique</t>
  </si>
  <si>
    <t>https://books.google.fr/books?id=eexmAAAAcAAJ&amp;pg=PA23&amp;lpg=PA23&amp;dq=Terraque,+marique+m%C3%A9daille&amp;source=bl&amp;ots=4lmu9H9l-f&amp;sig=ACfU3U1mlAVHQCLVD0Bsha7GZ_lF-WMhLQ&amp;hl=fr&amp;sa=X&amp;ved=2ahUKEwia_Ze17tn2AhWLz4UKHSaDDUwQ6AF6BAgEEAM#v=onepage&amp;q=Terraque%2C%20marique%20m%C3%A9daille&amp;f=false</t>
  </si>
  <si>
    <t>MG-1692-01_288</t>
  </si>
  <si>
    <t>https://gallica.bnf.fr/ark:/12148/bpt6k6228530k/f292.item</t>
  </si>
  <si>
    <t>[Revers d'une médaille de la vie du roi représentant Louis XIV vêtu à la romaine, avec une couronne de laurier]*</t>
  </si>
  <si>
    <t xml:space="preserve">emblématique ; </t>
  </si>
  <si>
    <t xml:space="preserve">médaille ; piédestal ; gouvernail </t>
  </si>
  <si>
    <t>Constantia vigilantis simi principis</t>
  </si>
  <si>
    <t>MG-1692-02a_307</t>
  </si>
  <si>
    <t>[Figure marquée I]</t>
  </si>
  <si>
    <t>plan de table</t>
  </si>
  <si>
    <t>10 x 15 cm</t>
  </si>
  <si>
    <t>[Suite du plan de table]*</t>
  </si>
  <si>
    <t>[Figure marquée II]</t>
  </si>
  <si>
    <t>10,2 x 14,3 cm</t>
  </si>
  <si>
    <t>1692-03_175</t>
  </si>
  <si>
    <t>MG-1692-03_175</t>
  </si>
  <si>
    <t>https://gallica.bnf.fr/ark:/12148/bpt6k6228003z/f181.item</t>
  </si>
  <si>
    <t>[Revers d'une médaille de la vie du roi représentant la prise de Luxembourg]*</t>
  </si>
  <si>
    <t>Ludovico magno quod bello ab Hispanis lacessitus et causa et milite superior Lucemburgo subacto immortalem quam armis nactus est gloriam concessaiterum Europæ tranquillitate cumularit MDCLXXXIV</t>
  </si>
  <si>
    <t>1692-04_181</t>
  </si>
  <si>
    <t>MG-1692-04_181</t>
  </si>
  <si>
    <t>https://gallica.bnf.fr/ark:/12148/bpt6k6227996d/f181.item</t>
  </si>
  <si>
    <t>[Revers d'une médaille représentant Notre-Dame]*</t>
  </si>
  <si>
    <t>emblématique ; architecture</t>
  </si>
  <si>
    <t>médaille ; église ; armoiries ; drapeau ou étendard</t>
  </si>
  <si>
    <t>69c20264-52ea-4566-a815-7123844fac19</t>
  </si>
  <si>
    <t xml:space="preserve">Ertinger, Franz (1640-1710) </t>
  </si>
  <si>
    <t>Sur l'estampe : "F. Ertinger : fe :"</t>
  </si>
  <si>
    <t>Quo prote gente hostes in manibus tuis sunt. [Exergue :] Cæsis semel iterumque Fœderatorum copiis ad Fleurum 1690. ad Leuzam 1691. signis captis CXLVII.</t>
  </si>
  <si>
    <t>MG-1692-05_217 : suite de l'article transcrit</t>
  </si>
  <si>
    <t>https://gallica.bnf.fr/ark:/12148/bpt6k6274143z/f218.item</t>
  </si>
  <si>
    <t>[Revers d'une médaille de la vie du roi représentant la colonie de Madagascar, frappée à l'occasion de la création de la Compagnie des Indes]*</t>
  </si>
  <si>
    <t>296171 : MADAGASCAR</t>
  </si>
  <si>
    <t xml:space="preserve">médaille ; île ; bœuf ; mer ; </t>
  </si>
  <si>
    <t>12,5 x 6,6 cm</t>
  </si>
  <si>
    <t>Sur l'estampe : "F. Ertinger. fecit". D'après une médaille au sujet de l'établissement de la Compagnie des Indes frappée en 1655 (voir l'article afférent à l'estampe).</t>
  </si>
  <si>
    <t>Colonia madagascarica [Exergue :] 1665</t>
  </si>
  <si>
    <r>
      <rPr>
        <b/>
        <u/>
        <sz val="10"/>
        <color rgb="FF1155CC"/>
        <rFont val="Arial"/>
        <family val="2"/>
      </rPr>
      <t>https://gallica.bnf.fr/ark:/12148/bpt6k1041715f/f191.item.zoom</t>
    </r>
    <r>
      <rPr>
        <b/>
        <sz val="10"/>
        <color rgb="FF000000"/>
        <rFont val="Arial"/>
        <family val="2"/>
      </rPr>
      <t xml:space="preserve"> ; </t>
    </r>
    <r>
      <rPr>
        <b/>
        <u/>
        <sz val="10"/>
        <color rgb="FF1155CC"/>
        <rFont val="Arial"/>
        <family val="2"/>
      </rPr>
      <t>https://catalogue.bnf.fr/ark:/12148/cb30545202h</t>
    </r>
  </si>
  <si>
    <t>1692-05_225</t>
  </si>
  <si>
    <t>[La Liste de l'Armée Navale]</t>
  </si>
  <si>
    <t>1692-06_239</t>
  </si>
  <si>
    <t>https://gallica.bnf.fr/ark:/12148/bpt6k6317789j/f243.item</t>
  </si>
  <si>
    <t>[Campement de l'armée du roi lors de la prise de Namur]*</t>
  </si>
  <si>
    <t>[Le Campement des deux Armées]</t>
  </si>
  <si>
    <t>1081 : NAMUR</t>
  </si>
  <si>
    <t xml:space="preserve">topographie ; vie militaire ; </t>
  </si>
  <si>
    <t xml:space="preserve">camp militaire ; fleuve, rivière, ruisseau ; </t>
  </si>
  <si>
    <t>Sur l'estampe, à l'envers : "F. Ertinger".</t>
  </si>
  <si>
    <t>1692-07_274</t>
  </si>
  <si>
    <t>https://gallica.bnf.fr/ark:/12148/bpt6k6319342c/f274.item</t>
  </si>
  <si>
    <t>[Arc de triomphe dressé à Lyon par un particulier pour un feu d'artifice]*</t>
  </si>
  <si>
    <t>536 : LYON</t>
  </si>
  <si>
    <t>décor éphémère ; architecture ; sculpture ; héraldique ; mythologie gréco-romaine</t>
  </si>
  <si>
    <t>arc de triomphe ; trophée ; soleil ; foudre ; génie ; lion (animal) ; aigle ; trident ; drapeau ou étendard ; Jupiter ; armoiries ; palme</t>
  </si>
  <si>
    <t>bae8a318-6189-48fe-ad1d-125cd589988d</t>
  </si>
  <si>
    <t>Dulieu, Jean-Baptiste [fl. 1637-1694] ; 84130</t>
  </si>
  <si>
    <t>Sur l'estampe : "Sevin inv." ; "F. Ertinger. Sc."</t>
  </si>
  <si>
    <r>
      <rPr>
        <b/>
        <sz val="10"/>
        <color theme="1"/>
        <rFont val="Arial"/>
        <family val="2"/>
      </rPr>
      <t xml:space="preserve">CHANTRENNE, Damien, </t>
    </r>
    <r>
      <rPr>
        <b/>
        <i/>
        <sz val="10"/>
        <color theme="1"/>
        <rFont val="Arial"/>
        <family val="2"/>
      </rPr>
      <t>Pierre Paul Sevin (Tournon, 1646 - id. 1710), illustrateur et créateur de décors de fêtes et de cérémonies sous Louis XIV</t>
    </r>
    <r>
      <rPr>
        <b/>
        <sz val="10"/>
        <color theme="1"/>
        <rFont val="Arial"/>
        <family val="2"/>
      </rPr>
      <t>, Thèse de doctorat en histoire de l'art, sous la direction de Jérôme de La Gorce, Université Paris IV, Paris, 2012. MEYER, Véronique, Pour la plus grande gloire du roi : Louis XIV en thèses, Rennes, Centre de recherche du château de Versailles/Presses universitaires de Rennes, 2017.</t>
    </r>
  </si>
  <si>
    <t>1692-08a_181</t>
  </si>
  <si>
    <t>https://gallica.bnf.fr/ark:/12148/bpt6k62762732/f183.item</t>
  </si>
  <si>
    <t>[Médaille pour célébrer les victoires de Louis XIV lors de la guerre de la Ligue d'Augsbourg]*</t>
  </si>
  <si>
    <t>médaille ; main ; lance ; trophée ; drapeau ou étendard ; miroir ; Prudence (personnification) ; serpent ; armoiries</t>
  </si>
  <si>
    <t>Sur l'estampe : "F. Ertinger fecit".</t>
  </si>
  <si>
    <t>Concor dia prin cipum. [Exergue :] Foederati principes consilia conferunt hagæ com. 1691.</t>
  </si>
  <si>
    <t>Cura huc traducitur omnis. [Exergue :] GH</t>
  </si>
  <si>
    <t>1692-10_104</t>
  </si>
  <si>
    <t>https://gallica.bnf.fr/ark:/12148/bpt6k62574315/f108.item</t>
  </si>
  <si>
    <t>[Revers d'une médaille sur la prise de Namur]*</t>
  </si>
  <si>
    <t>médaille ; couronne</t>
  </si>
  <si>
    <t>11,9 x 7,1 cm</t>
  </si>
  <si>
    <r>
      <rPr>
        <b/>
        <sz val="10"/>
        <color theme="1"/>
        <rFont val="Arial"/>
        <family val="2"/>
      </rPr>
      <t xml:space="preserve">Sur l'estampe : "F. Ertinger fecit". </t>
    </r>
    <r>
      <rPr>
        <b/>
        <sz val="10"/>
        <color rgb="FFFF00FF"/>
        <rFont val="Arial"/>
        <family val="2"/>
      </rPr>
      <t>Source hypothèse d'attribution de la médaille ? Bizot Pierre (1630-1696) (d'après une médaille de) ; 84082</t>
    </r>
  </si>
  <si>
    <t>Ludovico mag : expugnatori simal et conservatori urbis [Exergue :] Senatus populus que namurcensis opt: principi MDCXCII</t>
  </si>
  <si>
    <t>1692-11_175</t>
  </si>
  <si>
    <t>https://gallica.bnf.fr/ark:/12148/bpt6k6312498x/f177.item</t>
  </si>
  <si>
    <t>médaille ; ville ; cheval ; arme ; montagne ; épée ; fusil ; lance</t>
  </si>
  <si>
    <t>12,3 x 7,6 cm</t>
  </si>
  <si>
    <t>Sur l'estampe : "F. Ertinger fe."</t>
  </si>
  <si>
    <t>Amat victoria testes [Exergue :] Namurcum expugnat : spectante auriaco et bavaro cum cent : arma tor millie. XXXIVN : MDCXCII.</t>
  </si>
  <si>
    <t>1692-12_182</t>
  </si>
  <si>
    <t>https://gallica.bnf.fr/ark:/12148/bpt6k6334255n/f186.item</t>
  </si>
  <si>
    <t>Vue par dehors et dans sa situation naturelle; Vue par dedans estant détachée</t>
  </si>
  <si>
    <t>[Cornes humaines décrites par un chirurgien de Brest]*</t>
  </si>
  <si>
    <t>chirurgien</t>
  </si>
  <si>
    <t>1937 : Brest</t>
  </si>
  <si>
    <t>monstre ;</t>
  </si>
  <si>
    <t>1693-01_219</t>
  </si>
  <si>
    <t>https://gallica.bnf.fr/ark:/12148/bpt6k6257409b/f229.item</t>
  </si>
  <si>
    <t>academie_royale_des_inscriptions_et_belles-lettres</t>
  </si>
  <si>
    <t>emblématique ; personnification des villes, des États et des fleuves ; personnification ; héraldique ; vie militaire ; mythologie gréco-romaine</t>
  </si>
  <si>
    <t>médaille ; drapeau ou étendard ; piédestal ; Meuse (personnification) ; Sambre (personnification) ; Victoire (personnification) ; armoiries ; gouvernail ; roseau ; palme</t>
  </si>
  <si>
    <r>
      <rPr>
        <b/>
        <sz val="10"/>
        <rFont val="Arial"/>
        <family val="2"/>
      </rPr>
      <t xml:space="preserve">Sur l'estampe : "F. Ertinger. fec."D'après une médaille de </t>
    </r>
    <r>
      <rPr>
        <b/>
        <u/>
        <sz val="10"/>
        <color rgb="FF1155CC"/>
        <rFont val="Arial"/>
        <family val="2"/>
      </rPr>
      <t>Mauger, Jean (1648-1722)</t>
    </r>
    <r>
      <rPr>
        <b/>
        <sz val="10"/>
        <rFont val="Arial"/>
        <family val="2"/>
      </rPr>
      <t>. Sur la médaille : "Mauger F".</t>
    </r>
  </si>
  <si>
    <t>Ludovicus. Magnus Namur c. Urbem et. Arces. XXXCIE obsid. Caepit. Sub. Oculis Hispan angel. Germ Batav centem. Mill M. D. C. XCII. [Exergue :] Mauger F</t>
  </si>
  <si>
    <r>
      <rPr>
        <b/>
        <u/>
        <sz val="10"/>
        <color rgb="FF1155CC"/>
        <rFont val="Arial"/>
        <family val="2"/>
      </rPr>
      <t>https://gallica.bnf.fr/ark:/12148/bpt6k1041715f/f505.item.zoom</t>
    </r>
    <r>
      <rPr>
        <b/>
        <sz val="10"/>
        <color rgb="FF000000"/>
        <rFont val="Arial"/>
        <family val="2"/>
      </rPr>
      <t xml:space="preserve"> ; </t>
    </r>
    <r>
      <rPr>
        <b/>
        <u/>
        <sz val="10"/>
        <color rgb="FF1155CC"/>
        <rFont val="Arial"/>
        <family val="2"/>
      </rPr>
      <t>https://catalogue.bnf.fr/ark:/12148/cb30545202h</t>
    </r>
  </si>
  <si>
    <t>1693-02_201</t>
  </si>
  <si>
    <t>https://gallica.bnf.fr/ark:/12148/bpt6k6334264m/f207.item</t>
  </si>
  <si>
    <t>[Revers d'une médaille sur la prise de Philippsburg]*</t>
  </si>
  <si>
    <t>1225 : PHILIPPSBURG</t>
  </si>
  <si>
    <t xml:space="preserve">médaille ; ville ; forteresse ; fleuve, rivière, ruisseau ; Victoire (personnification) ; </t>
  </si>
  <si>
    <t>dd472c65-6980-4431-bf1e-cab567de2130*</t>
  </si>
  <si>
    <t>Leclerc, Sébastien [inv. ou sculp.?] ; 83924</t>
  </si>
  <si>
    <t>Sur l'estampe : "Ertinger fecit". D'après une médaille de Roussel Jérôme (1663-1713) ; 84030. Sur la médaille : "H. Roussel. f".</t>
  </si>
  <si>
    <t>Providenter. [Exergue :] Philisburgum expugnatum M. DC. LXXXVIII. H. Roussel. F.</t>
  </si>
  <si>
    <r>
      <rPr>
        <b/>
        <u/>
        <sz val="10"/>
        <color rgb="FF1155CC"/>
        <rFont val="Arial"/>
        <family val="2"/>
      </rPr>
      <t>https://gallica.bnf.fr/ark:/12148/bpt6k1041715f/f469.item.zoom</t>
    </r>
    <r>
      <rPr>
        <b/>
        <sz val="10"/>
        <rFont val="Arial"/>
        <family val="2"/>
      </rPr>
      <t xml:space="preserve"> ; </t>
    </r>
    <r>
      <rPr>
        <b/>
        <u/>
        <sz val="10"/>
        <color rgb="FF1155CC"/>
        <rFont val="Arial"/>
        <family val="2"/>
      </rPr>
      <t>https://catalogue.bnf.fr/ark:/12148/cb30545202h</t>
    </r>
  </si>
  <si>
    <t>https://books.google.fr/books?id=Q12QSv6DvY4C&amp;pg=PA197&amp;lpg=PA197&amp;dq=Providenter.+Philisburgum+expugnatum&amp;source=bl&amp;ots=6JBC65_pDY&amp;sig=ACfU3U3QT8b7OcnKqPfjWVGup6B7EuyWVQ&amp;hl=fr&amp;sa=X&amp;ved=2ahUKEwjoxvSB_cL1AhVLzoUKHb5kCNYQ6AF6BAgHEAM#v=onepage&amp;q=Providenter.%20Philisburgum%20expugnatum&amp;f=false</t>
  </si>
  <si>
    <t>Cette médaille n'est pas liée à l'article de janvier 1689 sur l'estampe de Bonnart sur le même thème https://catalogue.bnf.fr/ark:/12148/cb41504626s (transcrit) ; cf. article Pascale Cugy : https://journals.openedition.org/estampe/1704#bodyftn329</t>
  </si>
  <si>
    <t>https://gallica.bnf.fr/ark:/12148/bpt6k6542717t/f193.item</t>
  </si>
  <si>
    <t xml:space="preserve">baguette ; montagne ; </t>
  </si>
  <si>
    <t>1693-04_189</t>
  </si>
  <si>
    <t>https://gallica.bnf.fr/ark:/12148/bpt6k6257822k/f193.item</t>
  </si>
  <si>
    <t>Horloges hydrauliques</t>
  </si>
  <si>
    <t>[Montre]*</t>
  </si>
  <si>
    <t>[Montre d'une nouvelle invention]</t>
  </si>
  <si>
    <t>mécanique ; héraldique ; hydraulique</t>
  </si>
  <si>
    <t xml:space="preserve">montre ; cadran ou horloge ; cœur ; </t>
  </si>
  <si>
    <t>https://gallica.bnf.fr/ark:/12148/bpt6k62661209/f252.item</t>
  </si>
  <si>
    <t>[Médaille : croix de Saint-Louis, face et revers]*</t>
  </si>
  <si>
    <t>ordre_royal_et_militaire_de_saint-louis</t>
  </si>
  <si>
    <t>emblématique ; héraldique ;</t>
  </si>
  <si>
    <t>médaille  ; épée</t>
  </si>
  <si>
    <t xml:space="preserve">louis_ix_(1214-1270)_roi_de_france ; </t>
  </si>
  <si>
    <t>Sur l'estampe : "F. Ertinger. Sc".</t>
  </si>
  <si>
    <t>https://catalogue.bnf.fr/ark:/12148/cb41504962g</t>
  </si>
  <si>
    <t>1693-06_064</t>
  </si>
  <si>
    <t>https://gallica.bnf.fr/ark:/12148/bpt6k6260897d/f68.item</t>
  </si>
  <si>
    <t>[Devise repésentant un soleil entouré d'éclairs, présentée par l'abbé de Lavau à l'Académie française pendant la guerre de la ligue d'Augsbourg]*</t>
  </si>
  <si>
    <t>emblèmes et devises ; vie académique</t>
  </si>
  <si>
    <t>soleil ; foudre ; montagne</t>
  </si>
  <si>
    <t>69c20264-52ea-4566-a815-7123844fac20</t>
  </si>
  <si>
    <t>Sur l'estampe : "F. Ertinger. Sc."</t>
  </si>
  <si>
    <t>1693-07_193</t>
  </si>
  <si>
    <t>BnF, Ars, 8-H-26484 (268)</t>
  </si>
  <si>
    <t>https://gallica.bnf.fr/ark:/12148/bpt6k6264634f/f195.item</t>
  </si>
  <si>
    <t>Golfe de Roses</t>
  </si>
  <si>
    <t>[Plan de la forteresse et du golfe de Roses]*</t>
  </si>
  <si>
    <t>831 : ROSES</t>
  </si>
  <si>
    <t>forteresse ; mer</t>
  </si>
  <si>
    <t>https: ; / catalogue.bnf.fr ; ark: ; 12148 ; cb42335777m</t>
  </si>
  <si>
    <t>https://gallica.bnf.fr/ark:/12148/bpt6k6260062f/f314.item</t>
  </si>
  <si>
    <t>[Médaille représentant le prince Louis de Bade]*</t>
  </si>
  <si>
    <t>1166 : CERCLE DE SOUABE</t>
  </si>
  <si>
    <t>emblématique ; personnification des villes, des États et des fleuves ; personnification ; mythologie gréco-romaine ; généalogie</t>
  </si>
  <si>
    <t>médaille ; roseau ; Victoire (personnification) ; lune ; Soleil (personnification) ; Père Rhin (personnification) ; gouvernail</t>
  </si>
  <si>
    <t>95ad3d1b-3c34-4fa6-a332-e3eb31e776ec</t>
  </si>
  <si>
    <t xml:space="preserve">Baden, Louis-Guillaume [1655-1707], prince de ; 84080 ; </t>
  </si>
  <si>
    <r>
      <rPr>
        <b/>
        <sz val="10"/>
        <rFont val="Arial"/>
        <family val="2"/>
      </rPr>
      <t xml:space="preserve">Sur l'estampe : "F. Ertinger Sc." D'après une médaille de </t>
    </r>
    <r>
      <rPr>
        <b/>
        <u/>
        <sz val="10"/>
        <color rgb="FF1155CC"/>
        <rFont val="Arial"/>
        <family val="2"/>
      </rPr>
      <t>Müller, Philippe Heinrich (1654-1719)</t>
    </r>
    <r>
      <rPr>
        <b/>
        <sz val="10"/>
        <rFont val="Arial"/>
        <family val="2"/>
      </rPr>
      <t>. Sur l'avers de la médaille : "P. H. M".</t>
    </r>
  </si>
  <si>
    <t>Ludov. Wilh. Dg. March. Bach. Hochb. S. C. M. Gener. Locumt. Campimarisc. [Exergue :] P. H. Dt</t>
  </si>
  <si>
    <t>Ut lunæ. Sic siste gradum nunc josua solis. [Exergue :] Mars Bisultor. Victor Turcar perpetuus. Expeditionem contra gallos ad rehnum aggreditur 1693</t>
  </si>
  <si>
    <t>1693-09_266</t>
  </si>
  <si>
    <t>https://gallica.bnf.fr/ark:/12148/bpt6k6319357t/f270.item</t>
  </si>
  <si>
    <t>[Revers d'une médaille sur la vie du roi au sujet des prises de Nice et Mons]*</t>
  </si>
  <si>
    <t>1564 : Nice</t>
  </si>
  <si>
    <t>1076 : Mons</t>
  </si>
  <si>
    <t>médaille ; Renommée (personnification) ; ville ; mer ; couronne</t>
  </si>
  <si>
    <t>Sur l'estampe : "F. E. Sc".</t>
  </si>
  <si>
    <t>Ab. Austro. Et. Ab.Aquilone. [Exergue :] Inevnte. Aprili. M. D. CL. XXXXI. N</t>
  </si>
  <si>
    <r>
      <rPr>
        <b/>
        <u/>
        <sz val="10"/>
        <color rgb="FF1155CC"/>
        <rFont val="Arial"/>
        <family val="2"/>
      </rPr>
      <t xml:space="preserve">https://gallica.bnf.fr/ark:/12148/bpt6k1041715f/f499.item.zoom </t>
    </r>
    <r>
      <rPr>
        <b/>
        <u/>
        <sz val="10"/>
        <color rgb="FF000000"/>
        <rFont val="Arial"/>
        <family val="2"/>
      </rPr>
      <t xml:space="preserve">; </t>
    </r>
    <r>
      <rPr>
        <b/>
        <u/>
        <sz val="10"/>
        <color rgb="FF1155CC"/>
        <rFont val="Arial"/>
        <family val="2"/>
      </rPr>
      <t>https://catalogue.bnf.fr/ark:/12148/cb30545202h</t>
    </r>
  </si>
  <si>
    <t>https://www.google.fr/books/edition/Medailles_sur_les_principaux_evenements/TphMAAAAcAAJ?hl=fr&amp;gbpv=1&amp;dq=Ab.+Austro.+Et.+Ab.Aquilone.m%C3%A9daille&amp;pg=PA475&amp;printsec=frontcover</t>
  </si>
  <si>
    <t>1693-10_327</t>
  </si>
  <si>
    <t>https://gallica.bnf.fr/ark:/12148/bpt6k6259925s/f329.item</t>
  </si>
  <si>
    <t>[Revers d'une médaille sur la libéralité du roi pendant la famine de 1662]*</t>
  </si>
  <si>
    <t>médaille ; Charité (personnification) ; enfant ; pain</t>
  </si>
  <si>
    <t>Sur l'estampe : "F. Ertinger Sc".</t>
  </si>
  <si>
    <t>Fames. Pietate. Principis. Sublevata. [Exergue :] M. D. LXII.</t>
  </si>
  <si>
    <r>
      <rPr>
        <b/>
        <u/>
        <sz val="10"/>
        <color rgb="FF1155CC"/>
        <rFont val="Arial"/>
        <family val="2"/>
      </rPr>
      <t>https://gallica.bnf.fr/ark:/12148/bpt6k1041715f/f161.item.zoom</t>
    </r>
    <r>
      <rPr>
        <b/>
        <sz val="10"/>
        <color rgb="FF000000"/>
        <rFont val="Arial"/>
        <family val="2"/>
      </rPr>
      <t xml:space="preserve"> ; </t>
    </r>
    <r>
      <rPr>
        <b/>
        <u/>
        <sz val="10"/>
        <color rgb="FF1155CC"/>
        <rFont val="Arial"/>
        <family val="2"/>
      </rPr>
      <t>https://catalogue.bnf.fr/ark:/12148/cb30545202h</t>
    </r>
  </si>
  <si>
    <t>https://gallica.bnf.fr/ark:/12148/bpt6k6255925j/f12.item</t>
  </si>
  <si>
    <t>[Médaille de distinction accordée aux marins]*</t>
  </si>
  <si>
    <t>médaille ; trident ; marin ; mer</t>
  </si>
  <si>
    <t xml:space="preserve">reproduction de médaille, jeton ou monnaie ; portraits en médaille ; </t>
  </si>
  <si>
    <t xml:space="preserve">12,1 x 7,7 cm </t>
  </si>
  <si>
    <t>Virtuti. Nautigæ. Præmia data. [Exergue :] M. DC. XCII. T. Bernard. F.</t>
  </si>
  <si>
    <r>
      <rPr>
        <b/>
        <u/>
        <sz val="10"/>
        <color rgb="FF1155CC"/>
        <rFont val="Arial"/>
        <family val="2"/>
      </rPr>
      <t>https://gallica.bnf.fr/ark:/12148/bpt6k1041715f/f531.item.zoom</t>
    </r>
    <r>
      <rPr>
        <b/>
        <sz val="10"/>
        <rFont val="Arial"/>
        <family val="2"/>
      </rPr>
      <t xml:space="preserve"> ; </t>
    </r>
    <r>
      <rPr>
        <b/>
        <u/>
        <sz val="10"/>
        <color rgb="FF1155CC"/>
        <rFont val="Arial"/>
        <family val="2"/>
      </rPr>
      <t>https://catalogue.bnf.fr/ark:/12148/cb30545202h</t>
    </r>
  </si>
  <si>
    <t>1694-01_204</t>
  </si>
  <si>
    <t>https://gallica.bnf.fr/ark:/12148/bpt6k6260059z/f208.item</t>
  </si>
  <si>
    <t>[Médaille frappée à l'occasion de la victoire navale sur les Anglais et les Hollandais]*</t>
  </si>
  <si>
    <t>médaille ; Victoire (personnification) ; trophée ; palme ; drapeau ou étendard ; mer ; armoiries ; navire ; sept flèches des Provinces-Unies</t>
  </si>
  <si>
    <t>Mersa. Et. Fugata. Anglorum. Et. Batau. Classe [Exergue :] Adoras. Angliæ. M. D. C. XC.</t>
  </si>
  <si>
    <r>
      <rPr>
        <b/>
        <u/>
        <sz val="10"/>
        <color rgb="FF1155CC"/>
        <rFont val="Arial"/>
        <family val="2"/>
      </rPr>
      <t>https://gallica.bnf.fr/ark:/12148/bpt6k1041715f/f483.item.zoom</t>
    </r>
    <r>
      <rPr>
        <b/>
        <sz val="10"/>
        <rFont val="Arial"/>
        <family val="2"/>
      </rPr>
      <t xml:space="preserve"> ; </t>
    </r>
    <r>
      <rPr>
        <b/>
        <u/>
        <sz val="10"/>
        <color rgb="FF1155CC"/>
        <rFont val="Arial"/>
        <family val="2"/>
      </rPr>
      <t>https://catalogue.bnf.fr/ark:/12148/cb30545202h</t>
    </r>
  </si>
  <si>
    <t>1694-02_303</t>
  </si>
  <si>
    <t>8-H-26484 (278)</t>
  </si>
  <si>
    <t>https://gallica.bnf.fr/ark:/12148/bpt6k62577939/f307.item</t>
  </si>
  <si>
    <t>[Mausolée de la reine de Suède]*</t>
  </si>
  <si>
    <t xml:space="preserve">
1527 : EMPIRE SUÉDOIS</t>
  </si>
  <si>
    <t>deuil ; héraldique ; architecture ; sculpture ; personnification des vices et des vertus</t>
  </si>
  <si>
    <t>mausolée ; bas-relief ; statue ; obélisque ; palme ; armoiries ; Renommée (personnification)</t>
  </si>
  <si>
    <t>c02b19a5-5da5-4bea-a83e-bb693c41e4f7</t>
  </si>
  <si>
    <t>ulrique-eleonore_(1655-1693)_reine_de_suede</t>
  </si>
  <si>
    <t>https://gallica.bnf.fr/ark:/12148/bpt6k6260060m/f203.item</t>
  </si>
  <si>
    <t>[Plan du port antique de Leptis Magna]*</t>
  </si>
  <si>
    <t>297713 : LEPTIS MAGNA</t>
  </si>
  <si>
    <t>topographie ; archéologie</t>
  </si>
  <si>
    <t>port ; mer ; navire ; drapeau ou étendard ; tour</t>
  </si>
  <si>
    <t>plans et vues</t>
  </si>
  <si>
    <t>Sur l'estampe : " F. E. Sc."</t>
  </si>
  <si>
    <t>MG-1694-04_112</t>
  </si>
  <si>
    <t>https://gallica.bnf.fr/ark:/12148/bpt6k6317583c/f118.item</t>
  </si>
  <si>
    <t>[Médaille figurant la ville de Toulouse]*</t>
  </si>
  <si>
    <t>453 : TOULOUSE</t>
  </si>
  <si>
    <t>médaille ; étoile ; Apollon ; lyre (antique)</t>
  </si>
  <si>
    <t>8,9 x 16,4</t>
  </si>
  <si>
    <t>Lucerna in nocte</t>
  </si>
  <si>
    <t>Apollini tolosano</t>
  </si>
  <si>
    <t>1694-05_265</t>
  </si>
  <si>
    <t>https://gallica.bnf.fr/ark:/12148/bpt6k62575281/f271.item</t>
  </si>
  <si>
    <t>[Croix des chevaliers de l'ordre teutonique]*</t>
  </si>
  <si>
    <t>ordre_teutonique</t>
  </si>
  <si>
    <t>médaille ; armoiries</t>
  </si>
  <si>
    <t>Sur l'estampe : "F. E. Sc."</t>
  </si>
  <si>
    <t>1694-06_297</t>
  </si>
  <si>
    <t>https://gallica.bnf.fr/ark:/12148/bpt6k6258413j/f302.item</t>
  </si>
  <si>
    <t>[Plan de la bataille de Palamos]*</t>
  </si>
  <si>
    <t>[Le plan de la Bataille]</t>
  </si>
  <si>
    <t>829 : PALAMÓS</t>
  </si>
  <si>
    <t>bataille ; mer ; citadelle ; ville ; armée ; fleuve, rivière, ruisseau ; église ; montagne ; armée navale ; forteresse ; drapeau ou étendard ; navire</t>
  </si>
  <si>
    <t>Sur l'estampe : "f. Ertinger. sc."</t>
  </si>
  <si>
    <t>1694-07_081</t>
  </si>
  <si>
    <t>https://gallica.bnf.fr/ark:/12148/bpt6k6232209j/f188.item</t>
  </si>
  <si>
    <t>Plan de la ville et de la citadelle de Palamos avec les attaques et tranchées</t>
  </si>
  <si>
    <t>[Plan de la ville et de la citadelle de Palamos]*</t>
  </si>
  <si>
    <t>[Plan de la Ville et de la Citadelle de Palamos]</t>
  </si>
  <si>
    <t>forteresse ; navire ; pièce d'artillerie ; drapeau ou étendard</t>
  </si>
  <si>
    <t>https://catalogue.bnf.fr/ark:/12148/cb40592648b</t>
  </si>
  <si>
    <t>1694-07_259</t>
  </si>
  <si>
    <t>https://gallica.bnf.fr/ark:/12148/bpt6k6232209j/f269.item</t>
  </si>
  <si>
    <t>Plan de la ville de Gironne, ports et redoutes, attaques et tranchées</t>
  </si>
  <si>
    <t>[Plan de la ville et de la citadelle de Gironne]*</t>
  </si>
  <si>
    <t>[Plan de la Ville de Gironne]</t>
  </si>
  <si>
    <t xml:space="preserve">820 : GÉRONE </t>
  </si>
  <si>
    <t>forteresse ; fleuve, rivière, ruisseau ; ville ; forteresse</t>
  </si>
  <si>
    <t>MG-1694-08_227</t>
  </si>
  <si>
    <t>https://gallica.bnf.fr/ark:/12148/bpt6k6279305h/f233.item</t>
  </si>
  <si>
    <t>[Médaille des chevaliers de l'Ordre de l'Éléphant du Danemark]*</t>
  </si>
  <si>
    <t>ordre_de_l_elephant</t>
  </si>
  <si>
    <t>armoiries ; médaille ; lion (animal) ; tour ; éléphant ; cœur</t>
  </si>
  <si>
    <t>Sur l'estampe : F. Ertinger. Sc."</t>
  </si>
  <si>
    <t>https://gallica.bnf.fr/ark:/12148/bpt6k6257589q/f130.item</t>
  </si>
  <si>
    <t>[Médaille de la vie du roi représentant Louis XIV à cheval et la Libéralité]*</t>
  </si>
  <si>
    <t xml:space="preserve">médaille ; Libéralité (personnification) ; cheval ; corne d'abondance ; montagne ; </t>
  </si>
  <si>
    <t>Sur l'estampe : "f. Ertinger Sc".</t>
  </si>
  <si>
    <t>Liberalitas itinerum socia [Exergue :] R</t>
  </si>
  <si>
    <r>
      <rPr>
        <b/>
        <u/>
        <sz val="10"/>
        <color rgb="FF1155CC"/>
        <rFont val="Arial"/>
        <family val="2"/>
      </rPr>
      <t>https://gallica.bnf.fr/ark:/12148/bpt6k1041715f/f441.item.zoom</t>
    </r>
    <r>
      <rPr>
        <b/>
        <sz val="10"/>
        <rFont val="Arial"/>
        <family val="2"/>
      </rPr>
      <t xml:space="preserve"> ; </t>
    </r>
    <r>
      <rPr>
        <b/>
        <u/>
        <sz val="10"/>
        <color rgb="FF1155CC"/>
        <rFont val="Arial"/>
        <family val="2"/>
      </rPr>
      <t>https://catalogue.bnf.fr/ark:/12148/cb30545202h</t>
    </r>
  </si>
  <si>
    <t>https://gallica.bnf.fr/ark:/12148/bpt6k6257749w/f167.item</t>
  </si>
  <si>
    <t>[Estampe figurant une bombe]*</t>
  </si>
  <si>
    <t>[La machine infernale]*</t>
  </si>
  <si>
    <t>mécanique ; vie militaire</t>
  </si>
  <si>
    <t>bombe</t>
  </si>
  <si>
    <t>https://gallica.bnf.fr/ark:/12148/bpt6k6257749w/f263.item</t>
  </si>
  <si>
    <t>[Disposition des flottes anglaise et hollandaise devant Calais]*</t>
  </si>
  <si>
    <t>[L'Armée navale d'Angleterre &amp; de Hollande devant Calais]</t>
  </si>
  <si>
    <t>2611 : CALAIS</t>
  </si>
  <si>
    <t>combat naval ; armée navale ; port ; forteresse ; mer ; montagne ; drapeau ou étendard</t>
  </si>
  <si>
    <t>https://gallica.bnf.fr/ark:/12148/bpt6k6261854z/f261.item</t>
  </si>
  <si>
    <t>Plan de Castelfollit</t>
  </si>
  <si>
    <t>[Plan des fortifications de Castelfollit]*</t>
  </si>
  <si>
    <t>[Plan de Castelfollit]</t>
  </si>
  <si>
    <t xml:space="preserve">818 : CASTELLFOLLIT DE LA ROCA </t>
  </si>
  <si>
    <t>forteresse ; fleuve, rivière, ruisseau ; montagne</t>
  </si>
  <si>
    <t>1694-12_172</t>
  </si>
  <si>
    <t>https://gallica.bnf.fr/ark:/12148/bpt6k62941067/f178.item</t>
  </si>
  <si>
    <t>[Revers d'une médaille représentant la Victoire ailée, symbolisant la prise de Roses]*</t>
  </si>
  <si>
    <t>médaille ; Victoire (personnification) ; navire ; mer ;</t>
  </si>
  <si>
    <t>Sur l'estampe : "F. Ertinger Sc."</t>
  </si>
  <si>
    <t>Quam bene conveniunt [Exergue :] Roses soumis a l'obeiss. du Roy 10 juin 1693</t>
  </si>
  <si>
    <t>1695-01_185</t>
  </si>
  <si>
    <t>https://gallica.bnf.fr/ark:/12148/bpt6k6299675r/f191.item</t>
  </si>
  <si>
    <t>emblématique ; personnification ; mythologie gréco-romaine ; vie militaire</t>
  </si>
  <si>
    <t>médaille ; trophée ; Fortune (personnification)</t>
  </si>
  <si>
    <r>
      <rPr>
        <b/>
        <sz val="10"/>
        <color theme="1"/>
        <rFont val="Arial"/>
        <family val="2"/>
      </rPr>
      <t xml:space="preserve">Sur l'estampe : "F. Ertinger Sc." </t>
    </r>
    <r>
      <rPr>
        <b/>
        <sz val="10"/>
        <color rgb="FFFF00FF"/>
        <rFont val="Arial"/>
        <family val="2"/>
      </rPr>
      <t>Dufour, Jean-Baptiste (fl. 1673-1695) (d'après une médaille de) ; 84138 : Vérifier l'hypothèse d'attribution de la médaille dans TURCKHEIM-PEY.</t>
    </r>
  </si>
  <si>
    <t>Fortunæ manenti. [Exergue : Sequani. Iterum. Subacti. 1678</t>
  </si>
  <si>
    <r>
      <rPr>
        <b/>
        <u/>
        <sz val="10"/>
        <color rgb="FF1155CC"/>
        <rFont val="Arial"/>
        <family val="2"/>
      </rPr>
      <t>https://gallica.bnf.fr/ark:/12148/bpt6k1041715f/f291.item.zoom</t>
    </r>
    <r>
      <rPr>
        <b/>
        <sz val="10"/>
        <rFont val="Arial"/>
        <family val="2"/>
      </rPr>
      <t xml:space="preserve"> ; https://catalogue.bnf.fr/ark:/12148/cb30545202h</t>
    </r>
  </si>
  <si>
    <r>
      <rPr>
        <b/>
        <sz val="10"/>
        <color rgb="FF000000"/>
        <rFont val="Arial"/>
        <family val="2"/>
      </rPr>
      <t xml:space="preserve">TURCKHEIM-PEY, Sylvie de, </t>
    </r>
    <r>
      <rPr>
        <b/>
        <i/>
        <sz val="10"/>
        <color rgb="FF000000"/>
        <rFont val="Arial"/>
        <family val="2"/>
      </rPr>
      <t>Médailles du Grand Siècle: Histoire métallique de Louis XIV,</t>
    </r>
    <r>
      <rPr>
        <b/>
        <sz val="10"/>
        <color rgb="FF000000"/>
        <rFont val="Arial"/>
        <family val="2"/>
      </rPr>
      <t xml:space="preserve"> Paris, Bibliothèque nationale de France, 2004, p. 27-28.</t>
    </r>
  </si>
  <si>
    <t>1695-02_108</t>
  </si>
  <si>
    <t>https://gallica.bnf.fr/ark:/12148/bpt6k6317688s/f108.item</t>
  </si>
  <si>
    <t>[Médaille représentant Marie II Stuart, Reine d'Angleterre]*</t>
  </si>
  <si>
    <t xml:space="preserve">631 : LONDRES, Tour de Londres </t>
  </si>
  <si>
    <t>médaille ; trident ; navire ; combat naval ; corne d'abondance</t>
  </si>
  <si>
    <t xml:space="preserve">a37d8d58-e4a3-4c6b-95b0-1f62e30c37c6 </t>
  </si>
  <si>
    <t xml:space="preserve">Stuart, Marie II [1622-1694] ; Reine d'Angleterre [reg.1689-1694] ; 84010 ; </t>
  </si>
  <si>
    <r>
      <rPr>
        <b/>
        <sz val="10"/>
        <color theme="1"/>
        <rFont val="Arial"/>
        <family val="2"/>
      </rPr>
      <t xml:space="preserve">Sur l'estampe : "F. Ertinger Sc". </t>
    </r>
    <r>
      <rPr>
        <b/>
        <sz val="10"/>
        <color rgb="FFFF00FF"/>
        <rFont val="Arial"/>
        <family val="2"/>
      </rPr>
      <t>Sur l'avers : "I. S."</t>
    </r>
  </si>
  <si>
    <t>Maria : D : G : M : Brit : Fran : Et : Hib : Regina. F. D. P. A. [Exergue :] I. S.</t>
  </si>
  <si>
    <t>Dissipat et reficit [Exergue :] Reginæ regenti MDCXC.</t>
  </si>
  <si>
    <t>https://www.rmg.co.uk/collections/objects/rmgc-object-37571</t>
  </si>
  <si>
    <t>1695-03_052</t>
  </si>
  <si>
    <t>https://gallica.bnf.fr/ark:/12148/bpt6k6261514d/f56.item</t>
  </si>
  <si>
    <t>médaille ; grenade (végétal) ; rose</t>
  </si>
  <si>
    <t>a37d8d58-e4a3-4c6b-95b0-1f62e30c37c6 ; 1480e2ab-f3d6-4915-a0c0-9a5b55fd56b6 ; 0cea0d9b-75fc-4bbe-af49-20a7188d4783</t>
  </si>
  <si>
    <t>Stuart, Marie II [1622-1694] ; Reine d'Angleterre [reg.1689-1694] ; 
84010 ; louis_xiv_(1638-1715)_roi_de_france ; jacques_ii_(1633-1701)_roi_dangleterre</t>
  </si>
  <si>
    <t>12,1 x 7,3 cm</t>
  </si>
  <si>
    <t>Sur l'estampe : "F. Ertinger f".</t>
  </si>
  <si>
    <t>https://gallica.bnf.fr/ark:/12148/bpt6k63092680/f162.item</t>
  </si>
  <si>
    <t>[Formes géométriques]*</t>
  </si>
  <si>
    <t>[Figures]</t>
  </si>
  <si>
    <t>Sur l'estampe : "f. E. Sc."</t>
  </si>
  <si>
    <t>MG-1695-05_244</t>
  </si>
  <si>
    <t>https://gallica.bnf.fr/ark:/12148/bpt6k62588239/f251.item</t>
  </si>
  <si>
    <t>[Mausolée de François-Henri de Montmorency-Bouteville, duc de Luxembourg]*</t>
  </si>
  <si>
    <t>97 : PARIS, Maison professe Saint-Louis des Jésuites, rue Saint-Antoine</t>
  </si>
  <si>
    <t>deuil ; héraldique ; architecture ; sculpture ; mythologie gréco-romaine ; personnification</t>
  </si>
  <si>
    <t>mausolée ; armoiries ; statue ; bas-relief ; laurier ; lance ; bouclier ; lion (animal) ; bataille ; cheval ; Victoire (personnification) ; bouclier</t>
  </si>
  <si>
    <t>c4e029b7-251d-4112-87fa-3c0847d955ac</t>
  </si>
  <si>
    <t>luxembourg_françois-henri_de_montmorency-boutteville_(1628-1695)_duc_de</t>
  </si>
  <si>
    <t>1695-06_229</t>
  </si>
  <si>
    <t>https://gallica.bnf.fr/ark:/12148/bpt6k6258795f/f238.item</t>
  </si>
  <si>
    <t>[Disposition des armées du roi en Flandre]*</t>
  </si>
  <si>
    <t>1695-07_167</t>
  </si>
  <si>
    <t>https://gallica.bnf.fr/ark:/12148/bpt6k6319366s/f171.item</t>
  </si>
  <si>
    <t>[Disposition de l'armée allemande]*</t>
  </si>
  <si>
    <t>1695-08_202</t>
  </si>
  <si>
    <t>https://gallica.bnf.fr/ark:/12148/bpt6k6258623m/f202.item</t>
  </si>
  <si>
    <t>[Stèle antique représentant Mercure]*</t>
  </si>
  <si>
    <t>2800 : Beauvais</t>
  </si>
  <si>
    <t>archéologie ; mythologie gréco-romaine ; sculpture</t>
  </si>
  <si>
    <t>Mercure ; stèle antique ; caducée</t>
  </si>
  <si>
    <t>1695-09_193</t>
  </si>
  <si>
    <t>https://gallica.bnf.fr/ark:/12148/bpt6k62587036/f190.item</t>
  </si>
  <si>
    <t>[Bombe utilisée par les Anglais et les Hollandais pour attaquer les côtes françaises]*</t>
  </si>
  <si>
    <t>https://gallica.bnf.fr/ark:/12148/bpt6k63174957/f65.item</t>
  </si>
  <si>
    <t>[Éolimètre, outil de navigation]*</t>
  </si>
  <si>
    <t>outil de navigation</t>
  </si>
  <si>
    <t>https://gallica.bnf.fr/ark:/12148/bpt6k6259306c/f90.item</t>
  </si>
  <si>
    <t>[Machine pour faire tenir l'éolimètre, avec un pivot de bois et au sommet une douille de fer en croix]*</t>
  </si>
  <si>
    <t>https://gallica.bnf.fr/ark:/12148/bpt6k6309735b/f147.item</t>
  </si>
  <si>
    <t>[Plan de l'amphithéâtre antique redécouvert à Valognes (théâtre d'Alauna)]*</t>
  </si>
  <si>
    <t>2578 : VALLOGNES</t>
  </si>
  <si>
    <t>archéologie ; architecture</t>
  </si>
  <si>
    <t xml:space="preserve">amphithéâtre </t>
  </si>
  <si>
    <t>plan de bâtiment</t>
  </si>
  <si>
    <t>1696-02_197</t>
  </si>
  <si>
    <t>https://gallica.bnf.fr/ark:/12148/bpt6k6248446n/f203.item</t>
  </si>
  <si>
    <t>[Portrait d'Armand-Jean Le Bouthilier de Rancé, abbé de La Trappe]*</t>
  </si>
  <si>
    <t>f4833b12-71ab-4cf4-a338-9365d11b8e2e</t>
  </si>
  <si>
    <t>le_bouthilier_de_rance_armand-jean_(1626-1700)</t>
  </si>
  <si>
    <t>Sur l'estampe : "F Ertinger Sc". D'après une médaille de Chéron, Charles Jean-François ; 84028. Sur la médaille : "Cheron".</t>
  </si>
  <si>
    <t>Fr Armandus Joas. Abbs. De Trappa. [Exergue :] Cheron.</t>
  </si>
  <si>
    <t>1696-03_153</t>
  </si>
  <si>
    <t>https://gallica.bnf.fr/ark:/12148/bpt6k62588254/f155.item</t>
  </si>
  <si>
    <t>[Jetons de l'année 1696]*</t>
  </si>
  <si>
    <t>jetons ; Hercule ; massue ; roseau ; Pactole ; bouclier ; lance ; Minerve ; montagne ; capricorne</t>
  </si>
  <si>
    <t>Sur l'estampe : "f. Ertinger Sc."</t>
  </si>
  <si>
    <t>https://gallica.bnf.fr/ark:/12148/bpt6k6258908z/f191.item</t>
  </si>
  <si>
    <t>[Initiales des amants gravées dans l'écorce à la manière des poètes antiques]*</t>
  </si>
  <si>
    <t>écorce gravée</t>
  </si>
  <si>
    <t>https://gallica.bnf.fr/ark:/12148/bpt6k6260250x/f243.item</t>
  </si>
  <si>
    <t>[Inventaire des batteries de défense de la rade de Brest]</t>
  </si>
  <si>
    <t>[Etat des Batteries qui deffendent l'entrée de la Rade de brest et du Goulet]</t>
  </si>
  <si>
    <t>1696-07_180</t>
  </si>
  <si>
    <t>https://gallica.bnf.fr/ark:/12148/bpt6k62587051/f181.item</t>
  </si>
  <si>
    <t>Fontana nella Piazza di S. Pietro in Vaticano</t>
  </si>
  <si>
    <t>[Fontaine de la place Saint-Pierre de Rome]*</t>
  </si>
  <si>
    <t>295637 : ROME, Place Saint-Pierre</t>
  </si>
  <si>
    <t>fontaine</t>
  </si>
  <si>
    <t>3f7df5a2-0213-4e00-9d4d-953b5acb510c</t>
  </si>
  <si>
    <t>Parasacchi, Domenico (fl.1618-1630) ; 83944</t>
  </si>
  <si>
    <r>
      <rPr>
        <b/>
        <sz val="10"/>
        <color theme="1"/>
        <rFont val="Arial"/>
        <family val="2"/>
      </rPr>
      <t xml:space="preserve">Sur l'estampe : "F. Ertinger. Sc." D'après une estampe tirée du recueil </t>
    </r>
    <r>
      <rPr>
        <b/>
        <i/>
        <sz val="10"/>
        <color theme="1"/>
        <rFont val="Arial"/>
        <family val="2"/>
      </rPr>
      <t>Raccolta delle principali fontane dell'inclitta città di Roma,</t>
    </r>
    <r>
      <rPr>
        <b/>
        <sz val="10"/>
        <color theme="1"/>
        <rFont val="Arial"/>
        <family val="2"/>
      </rPr>
      <t xml:space="preserve"> publié à Rome en 1637.</t>
    </r>
  </si>
  <si>
    <t>https://gallica.bnf.fr/ark:/12148/bpt6k63021353/f284.item</t>
  </si>
  <si>
    <t>[Plan du camp de Saint-Gérard]*</t>
  </si>
  <si>
    <t>297651 : SAINT-GÉRARD</t>
  </si>
  <si>
    <t xml:space="preserve">armée ; église ; forteresse ; drapeau ou étendard ; </t>
  </si>
  <si>
    <t>1696-09_185</t>
  </si>
  <si>
    <t>https://gallica.bnf.fr/ark:/12148/bpt6k6319351b/f195.item</t>
  </si>
  <si>
    <t>Fontana Guardia delli Sguizeri nel Vaticano</t>
  </si>
  <si>
    <t>[Fontaine du Vatican]*</t>
  </si>
  <si>
    <t>1675 : ROME, Palais du Vatican</t>
  </si>
  <si>
    <t>sculpture ; architecture</t>
  </si>
  <si>
    <t>fontaine ; statue ; cheval ; bas-relief ; oiseau</t>
  </si>
  <si>
    <r>
      <rPr>
        <b/>
        <sz val="10"/>
        <color theme="1"/>
        <rFont val="Arial"/>
        <family val="2"/>
      </rPr>
      <t xml:space="preserve">D'après une estampe tirée du recueil 
</t>
    </r>
    <r>
      <rPr>
        <b/>
        <i/>
        <sz val="10"/>
        <color theme="1"/>
        <rFont val="Arial"/>
        <family val="2"/>
      </rPr>
      <t>Raccolta delle principali fontane dell'inclitta città di Roma</t>
    </r>
    <r>
      <rPr>
        <b/>
        <sz val="10"/>
        <color theme="1"/>
        <rFont val="Arial"/>
        <family val="2"/>
      </rPr>
      <t>, publié à Rome en 1637.</t>
    </r>
  </si>
  <si>
    <t>1696-10_158</t>
  </si>
  <si>
    <t>[Figure d'un sarde]*</t>
  </si>
  <si>
    <t>1696-11_279</t>
  </si>
  <si>
    <t>https://gallica.bnf.fr/ark:/12148/bpt6k6260259n/f285.item</t>
  </si>
  <si>
    <t>[Revers d'une médaille sur la généalogie du grand dauphin]*</t>
  </si>
  <si>
    <t>emblématique ; généalogie</t>
  </si>
  <si>
    <t>5c9edf3a-330e-4c4f-8e61-c75a75e1b747 ; cfdfacf6-e6ac-4ecd-a153-2ccf3b650c87 ; d5ffb1b9-6a68-469d-b6cf-d29049ff8488 ; 43e4c72b-1f43-465e-a7b0-c0d2ee6e2080</t>
  </si>
  <si>
    <t>louis_dauphin_de_france_(1661-1711) ; bourgogne_louis_de_france_(1682-1712)_duc_de ; berry_charles_de_bourbon_(1686-1714)_duc_de ; philippe_V_(1683-1746)_roi_d_espagne</t>
  </si>
  <si>
    <t>Sur l'estampe : "F. Ertinger. Sc." D'après une médaille de Roussel, Jérôme (1663-1713) ; 84030. Sur la médaille : "H. Roussel F."</t>
  </si>
  <si>
    <t>Felicitas. Domus. Augustæ. [Exergue :] .Seren. Delph. Lud. D. Burg. Car. Bitur. Phil. D. And. H. Roussel F.</t>
  </si>
  <si>
    <t>https://collections.louvre.fr/en/ark:/53355/cl010443216</t>
  </si>
  <si>
    <t>1696-12_272</t>
  </si>
  <si>
    <t>https://gallica.bnf.fr/ark:/12148/bpt6k6268932w/f272.item</t>
  </si>
  <si>
    <t>Trois combles en paralele</t>
  </si>
  <si>
    <t>[Vues de profil de trois bâtisses avec trois combles de types différents: le plus ancien marqué I ; le comble encore en usage marqué II et le dernier plus récent conçu par M. Hantier, marqué III]*</t>
  </si>
  <si>
    <t>[Trois combles en parallèles]</t>
  </si>
  <si>
    <t>architecture</t>
  </si>
  <si>
    <t>combles</t>
  </si>
  <si>
    <t>b7a21c58-d24d-4430-adce-53b873ab904e</t>
  </si>
  <si>
    <t>Hantier, Vincent (1645?-1725?) ; 84128</t>
  </si>
  <si>
    <t>Sur l'estampe : "V. Hantier. inv. pinc. et. sculp."</t>
  </si>
  <si>
    <t>https://gallica.bnf.fr/ark:/12148/bpt6k6267980n/f205.item</t>
  </si>
  <si>
    <t>Jettons de l'année 1697</t>
  </si>
  <si>
    <t>[Jetons de l'année 1697]*</t>
  </si>
  <si>
    <t>jetons ; soleil ; lion (animal) ; palmier ; piédestal ; globe terrestre ; mer ; navire ; miroir ; foudre ; massue ; autel ; montagne ; alcyon</t>
  </si>
  <si>
    <t>Sur l'estampe : "F. Ertinger f."</t>
  </si>
  <si>
    <t>1697-02_230</t>
  </si>
  <si>
    <t>https://gallica.bnf.fr/ark:/12148/bpt6k62590085/f231.item</t>
  </si>
  <si>
    <t>[Système de rideaux inventés par M. Hantier]*</t>
  </si>
  <si>
    <t xml:space="preserve">rideau ; </t>
  </si>
  <si>
    <t>planche scientifique ; plans et vues</t>
  </si>
  <si>
    <t>1697-03_229</t>
  </si>
  <si>
    <t>https://gallica.bnf.fr/ark:/12148/bpt6k62483521/f237.item</t>
  </si>
  <si>
    <t>Fontana alla Catena di Borgo</t>
  </si>
  <si>
    <t>[Fontaine dite du Mascarone di Borgo à Rome]*</t>
  </si>
  <si>
    <t>295581 : ROME, Rione Borgo</t>
  </si>
  <si>
    <t xml:space="preserve">fontaine ; </t>
  </si>
  <si>
    <r>
      <rPr>
        <b/>
        <sz val="10"/>
        <color theme="1"/>
        <rFont val="Arial"/>
        <family val="2"/>
      </rPr>
      <t xml:space="preserve">Sur l'estampe : "F. Ertinger. Sc". D'après une estampe tirée du recueil 
</t>
    </r>
    <r>
      <rPr>
        <b/>
        <i/>
        <sz val="10"/>
        <color theme="1"/>
        <rFont val="Arial"/>
        <family val="2"/>
      </rPr>
      <t>Raccolta delle principali fontane dell'inclitta città di Roma</t>
    </r>
    <r>
      <rPr>
        <b/>
        <sz val="10"/>
        <color theme="1"/>
        <rFont val="Arial"/>
        <family val="2"/>
      </rPr>
      <t>, publié à Rome en 1637.</t>
    </r>
  </si>
  <si>
    <t>1657 https://www.hamburger-kunsthalle.de/sammlung-online/domenico-parasacchi-giovanni-battista-de-rossi/fontana-alla-catena-di-borgo Recueil : https://archive.org/details/raccoltadellepri00para/page/n3/mode/2up</t>
  </si>
  <si>
    <t>1697-05_163</t>
  </si>
  <si>
    <t>https://gallica.bnf.fr/ark:/12148/bpt6k6260679s/f167.item</t>
  </si>
  <si>
    <t>Fontana di S. Giacomo in Borgo</t>
  </si>
  <si>
    <t>[Fontaine de S Giacomo à Rome]*</t>
  </si>
  <si>
    <t>295579 : ROME, Place Scossacavalli</t>
  </si>
  <si>
    <t>fontaine ; oiseau</t>
  </si>
  <si>
    <r>
      <rPr>
        <b/>
        <sz val="10"/>
        <color theme="1"/>
        <rFont val="Arial"/>
        <family val="2"/>
      </rPr>
      <t xml:space="preserve">Sur l'estampe : "F. Ertinger. f". D'après une estampe tirée du recueil </t>
    </r>
    <r>
      <rPr>
        <b/>
        <i/>
        <sz val="10"/>
        <color theme="1"/>
        <rFont val="Arial"/>
        <family val="2"/>
      </rPr>
      <t>Raccolta delle principali fontane dell'inclitta città di Roma</t>
    </r>
    <r>
      <rPr>
        <b/>
        <sz val="10"/>
        <color theme="1"/>
        <rFont val="Arial"/>
        <family val="2"/>
      </rPr>
      <t>, publié à Rome en 1637.</t>
    </r>
  </si>
  <si>
    <t>Recueil : https://archive.org/details/raccoltadellepri00para/page/n3/mode/2up</t>
  </si>
  <si>
    <t>https://gallica.bnf.fr/ark:/12148/bpt6k6258707v/f256.item</t>
  </si>
  <si>
    <t>[Plan des attaques d'Ath]*</t>
  </si>
  <si>
    <t>[Le Plan des Attaques]</t>
  </si>
  <si>
    <t>2722 : ATH</t>
  </si>
  <si>
    <t>Sur l'estampe : "F. Ertinger. F".</t>
  </si>
  <si>
    <t>https://gallica.bnf.fr/ark:/12148/bpt6k62588180/f283.item</t>
  </si>
  <si>
    <t>[Plan de la citadelle et du siège de Barcelone ]*</t>
  </si>
  <si>
    <t xml:space="preserve">813 : BARCELONE </t>
  </si>
  <si>
    <t>forteresse ; mer ; port ; navire ; citadelle ; navire ; drapeau ou étendard</t>
  </si>
  <si>
    <t>1697-08_153</t>
  </si>
  <si>
    <t>https://gallica.bnf.fr/ark:/12148/bpt6k6317683q/f153.item</t>
  </si>
  <si>
    <t>[Plan du château de Niewburg, côté cour, à l'ocassion du traité de Ryswick signé en 1697]*</t>
  </si>
  <si>
    <t>297389 : RYSWICK</t>
  </si>
  <si>
    <t>architecture ; vie militaire</t>
  </si>
  <si>
    <t xml:space="preserve">château ; jardin ; </t>
  </si>
  <si>
    <t>1697-09_271</t>
  </si>
  <si>
    <t>https://gallica.bnf.fr/ark:/12148/bpt6k62592187/f273.item</t>
  </si>
  <si>
    <t>[Plan du château de Niewburg, côté jardin, à l'ocassion du traité de Ryswick signé en 1697]*</t>
  </si>
  <si>
    <t>château</t>
  </si>
  <si>
    <t>1697-10_208</t>
  </si>
  <si>
    <t>https://gallica.bnf.fr/ark:/12148/bpt6k62593301/f212.item</t>
  </si>
  <si>
    <t>Fontana nella Piazza di Farnesse</t>
  </si>
  <si>
    <t>[Plan de la fontaine de la place Farnèse à Rome]*</t>
  </si>
  <si>
    <t>295577 : ROME, Place Farnèse</t>
  </si>
  <si>
    <r>
      <rPr>
        <b/>
        <sz val="10"/>
        <color theme="1"/>
        <rFont val="Arial"/>
        <family val="2"/>
      </rPr>
      <t>Sur l'estampe : "F. Ertinger". D'après une estampe tirée du recueil</t>
    </r>
    <r>
      <rPr>
        <b/>
        <i/>
        <sz val="10"/>
        <color theme="1"/>
        <rFont val="Arial"/>
        <family val="2"/>
      </rPr>
      <t xml:space="preserve"> Raccolta delle principali fontane dell'inclitta città di Roma</t>
    </r>
    <r>
      <rPr>
        <b/>
        <sz val="10"/>
        <color theme="1"/>
        <rFont val="Arial"/>
        <family val="2"/>
      </rPr>
      <t>, publié à Rome en 1637.</t>
    </r>
  </si>
  <si>
    <t>1697-12_090</t>
  </si>
  <si>
    <t>https://gallica.bnf.fr/ark:/12148/bpt6k6297695w/f94.item</t>
  </si>
  <si>
    <t>[Œsophage, pénis et utérus de sangsues]*</t>
  </si>
  <si>
    <t>zoologie ; anatomie animale ;</t>
  </si>
  <si>
    <t xml:space="preserve">sangsue </t>
  </si>
  <si>
    <t>1698-01_120</t>
  </si>
  <si>
    <t>https://gallica.bnf.fr/ark:/12148/bpt6k6270465b/f126.item</t>
  </si>
  <si>
    <t>Jetons de l'année 1698</t>
  </si>
  <si>
    <t>[Jetons de l'année 1698]*</t>
  </si>
  <si>
    <t>[Les Jetons de l'Année]</t>
  </si>
  <si>
    <t xml:space="preserve">jetons ; fleuve, rivière, ruisseau ; palmier ; navire ; aigle ; trident ; cheval ; Jupiter ; foudre ; drapeau ou étendard ; palme ; lance ; Neptune ; jardinier ; Pallas ; </t>
  </si>
  <si>
    <t>2c05519f-e349-4cc4-8bf1-88de2093e73a</t>
  </si>
  <si>
    <t xml:space="preserve">bourgogne_marie-adelaide_de_savoie_(1685-1712)_duchesse_de ; </t>
  </si>
  <si>
    <t>15,6 x 12,2 cm</t>
  </si>
  <si>
    <t>1699-01_177</t>
  </si>
  <si>
    <t>https://gallica.bnf.fr/ark:/12148/bpt6k6266301n/f179.item</t>
  </si>
  <si>
    <t>Jetons de l'année 1699</t>
  </si>
  <si>
    <t>[Jetons de l'année 1699]*</t>
  </si>
  <si>
    <t>jetons ; Cheval de Troie ; Hercule ; mer ; massue ; soleil ; arme ; Pallas ; navire ; nid ; sirène ; drapeau ou étendard ; mer ; éléphant ; bouclier ; colonne ; rose ; pélican</t>
  </si>
  <si>
    <t>https://gallica.bnf.fr/ark:/12148/bpt6k6270464x/f221.item</t>
  </si>
  <si>
    <t>[Deux testes coëffées en deüil]</t>
  </si>
  <si>
    <t>coiffe</t>
  </si>
  <si>
    <t>Sur l'estampe : "F. Ertinger. f."</t>
  </si>
  <si>
    <t>https://gallica.bnf.fr/ark:/12148/btv1b8407331t</t>
  </si>
  <si>
    <t>1700-01_163</t>
  </si>
  <si>
    <t>https://gallica.bnf.fr/ark:/12148/bpt6k6262137b/f169.item</t>
  </si>
  <si>
    <t>Jetons de l'année 1700</t>
  </si>
  <si>
    <t>[Jetons de l'année 1700]*</t>
  </si>
  <si>
    <t>242 : VERSAILLES, Château de, chapelle</t>
  </si>
  <si>
    <t>emblématique ; architecture ; mythologie gréco-romaine ; personnification des vices et des vertus</t>
  </si>
  <si>
    <t>jetons ; trident ; massue ; navire ; Neptune ; étoile ; Hercule ; main ; arrosoir ; statue ; Paix (personnification) ; lampe ; église ; rameau d'olivier ; lance</t>
  </si>
  <si>
    <t>https://gallica.bnf.fr/ark:/12148/bpt6k6266942n/f80.item</t>
  </si>
  <si>
    <t>[Médaille figurant le Prince électeur de Brandebourg en Hercule]*</t>
  </si>
  <si>
    <t xml:space="preserve">médaille ; Hercule ; massue ; montagne ; </t>
  </si>
  <si>
    <t>Frédéric I (1657-1713), roi en Prusse</t>
  </si>
  <si>
    <t>Frider. III. DG. March Brand. S. R. I. A. C. Et. Elect [Exergue :] R. Faltz</t>
  </si>
  <si>
    <t>Virtuti. Præmia ponit [Exergue :] Munificentia Princ :</t>
  </si>
  <si>
    <t>https://gallica.bnf.fr/ark:/12148/bpt6k62706651/f177.item</t>
  </si>
  <si>
    <t>[Médailles représentant le Prince électeur de Brandebourg]*</t>
  </si>
  <si>
    <t>médaille ; aigle ; soleil</t>
  </si>
  <si>
    <t>Frid Wilh. D. G. Princ. El. Brand. Frid. III. Fil. [Exergue :] R. Faltz</t>
  </si>
  <si>
    <t>Patrios. Iam concipit. Ignes. [Exergue :] Augustæ spei</t>
  </si>
  <si>
    <t>https://gallica.bnf.fr/ark:/12148/bpt6k63176666/f147.item</t>
  </si>
  <si>
    <t>Le Cube pour la perspective</t>
  </si>
  <si>
    <t>[Outil pour le dessin en perspective]*</t>
  </si>
  <si>
    <t>[Le Cube pour la Perspective]</t>
  </si>
  <si>
    <t>cube ; navire ; mer ; ville ; drapeau ou étendard</t>
  </si>
  <si>
    <t>1701-02_127</t>
  </si>
  <si>
    <t>https://gallica.bnf.fr/ark:/12148/bpt6k6266162n/f129.item</t>
  </si>
  <si>
    <t>Jettons de l'année 1701</t>
  </si>
  <si>
    <t>[Jetons de l'année 1701]*</t>
  </si>
  <si>
    <t>[Jettons qui ont esté frappez cette année]</t>
  </si>
  <si>
    <t>"Monnoye des Medailles"</t>
  </si>
  <si>
    <t>jetons ; champ ; trident ; ruche ; abeille ; lion (animal) ; laboureur ; fleuve, rivière, ruisseau ; navire ; palais ; jardin ; aigle ; soleil ; miroir ; mer ; laurier ; bombe</t>
  </si>
  <si>
    <t>Sur l'estampe : "F Ertinger. fecit".</t>
  </si>
  <si>
    <t>MG-1701-04b_003</t>
  </si>
  <si>
    <t>https://gallica.bnf.fr/ark:/12148/bpt6k6272692j/f72.item</t>
  </si>
  <si>
    <t>[Médailles représentant les ducs de Bourgogne et de Berry ; au revers, Avignon]*</t>
  </si>
  <si>
    <t>1358 : AVIGNON [Comtat venaissin]</t>
  </si>
  <si>
    <t>emblématique ; généalogie ; héraldique ; mythologie gréco-romaine ; personnification des villes, des États et des fleuves</t>
  </si>
  <si>
    <t xml:space="preserve">médaille ; chien ; Diane ; obélisque ; oiseau ; montagne ; Avignon (personnification) ; autel ; armoiries </t>
  </si>
  <si>
    <t>cfdfacf6-e6ac-4ecd-a153-2ccf3b650c87 ; d5ffb1b9-6a68-469d-b6cf-d29049ff8488</t>
  </si>
  <si>
    <t xml:space="preserve">bourgogne_louis_de_france_(1682-1712)_duc_de ; berry_charles_de_bourbon_(1686-1714)_duc_de ; </t>
  </si>
  <si>
    <t>Sur l'estampe : "F. Ertinger S".</t>
  </si>
  <si>
    <t>https://gallica.bnf.fr/ark:/12148/bpt6k6266284k/f317.item</t>
  </si>
  <si>
    <t>[Cénotaphe de Philippe I d'Orléans, frère du roi, dans la basilique de Saint-Denis]*</t>
  </si>
  <si>
    <t>cénotaphe ; trophée ; armoiries</t>
  </si>
  <si>
    <t>orleans_philippe_i_(1640-1701)_duc_d</t>
  </si>
  <si>
    <t>Sur l'estampe : "Berain del." ; "f. Ertinger".</t>
  </si>
  <si>
    <t>1702-01_290</t>
  </si>
  <si>
    <t>https://gallica.bnf.fr/ark:/12148/bpt6k62692907/f294.item</t>
  </si>
  <si>
    <t>Jettons de l'année 1702</t>
  </si>
  <si>
    <t>[Jetons de l'année 1702]*</t>
  </si>
  <si>
    <t>jetons ; huître ; perle ; soleil ; mer ; éléphant ; dragon du jardin des Hespérides ; église ; Neptune ; Hippomène ; Vents ; Amphitrite ; char ; cheval ; phare ; foudre ; enclume ; cep de vigne ; fleuve, rivière, ruisseau ; mont Olympe ; abeille</t>
  </si>
  <si>
    <t>1702-06b_385</t>
  </si>
  <si>
    <t>BnF, Ars, 8-H-26484 (382)</t>
  </si>
  <si>
    <t>Numéro pas disponible dans Gallica au 21 ; 04 ; 22</t>
  </si>
  <si>
    <t>[Vue de la ville de Luxembourg]*</t>
  </si>
  <si>
    <t>[Le Luxembourg]</t>
  </si>
  <si>
    <t>ville ; église ; forteresse ; arbre ; champ ; cheval ; pont</t>
  </si>
  <si>
    <t>profil</t>
  </si>
  <si>
    <t>MG-1702-10_063</t>
  </si>
  <si>
    <t>https://gallica.bnf.fr/ark:/12148/bpt6k62793028/f90.item</t>
  </si>
  <si>
    <t>[Médaille représentant le cardinal de Noailles, au revers l'église Saint-Louis-en-l'Ile]*</t>
  </si>
  <si>
    <t>41 : PARIS, Église Saint-Louis</t>
  </si>
  <si>
    <t>emblématique ; architecture ; religion</t>
  </si>
  <si>
    <t>médaille ; église</t>
  </si>
  <si>
    <t>01c0f966-6ee7-4c5f-8546-067a74e55525</t>
  </si>
  <si>
    <t xml:space="preserve">noailles_louis-antoine_de_(1651-1729) ; </t>
  </si>
  <si>
    <t>D'après une médaille de Roussel Jérôme (1663-1713) ; 84030. Voir l'article afférent à l'estampe.</t>
  </si>
  <si>
    <t>Ut sapiens architectus fundamentum posut. [Exergue :] Lut. Ant. Card. De. Noailles dux et par franciæ archiepiscopus paris.</t>
  </si>
  <si>
    <t>Dludovico sacrum ins. Inchoatum annon. M. DCLXIIII continuaum a. M. DCCII. [Exergue :] Regis liberalitas et parochianorum .Jacobus Luillier pastor. Æditui honorarii Benig. Le ragols. Luc. Gengy. Æditui Ærarii I. B. Vois ambert. M. Champagneux</t>
  </si>
  <si>
    <t>https://gallica.bnf.fr/ark:/12148/bpt6k63925957/f153.item</t>
  </si>
  <si>
    <t>Jettons de l'année 1703</t>
  </si>
  <si>
    <t>[Jetons de l'année 1703]*</t>
  </si>
  <si>
    <t xml:space="preserve">2911 : MEUDON </t>
  </si>
  <si>
    <t>emblématique ; personnification des villes, des États et des fleuves ; mythologie gréco-romaine ; architecture</t>
  </si>
  <si>
    <t>jetons ; soleil ; montagne ; laurier ; piédestal ; tournesol ; porc-épic ; taureau (animal) ; Méduse ; autel ; Alphée ; Aréthuse ; oranger ; phénix ; chapelle</t>
  </si>
  <si>
    <t>MG-1703-02_071</t>
  </si>
  <si>
    <t>MG-1703-03_363</t>
  </si>
  <si>
    <t>Explication de l'auteur sur la « Musique nouvelle » mentionnée dans le numéro de février.</t>
  </si>
  <si>
    <t>https://gallica.bnf.fr/ark:/12148/bpt6k6338660k/f75.item</t>
  </si>
  <si>
    <t>[Système de notation musicale]*</t>
  </si>
  <si>
    <t>[Le Système d'une Musique nouvelle]</t>
  </si>
  <si>
    <t>musique</t>
  </si>
  <si>
    <t>notation musicale</t>
  </si>
  <si>
    <t>daac80c5-7970-4329-bfc1-26bde18f0ae2</t>
  </si>
  <si>
    <t>Durand, M. [fl. 1700-1709] ; 83371</t>
  </si>
  <si>
    <t>1704-01_215</t>
  </si>
  <si>
    <t>https://gallica.bnf.fr/ark:/12148/bpt6k6279317q/f222.item</t>
  </si>
  <si>
    <t>Jettons de l'année 1704</t>
  </si>
  <si>
    <t>[Jetons de l'année 1704]*</t>
  </si>
  <si>
    <t>jetons ; cheval ; char ; pièce d'artillerie ; ville ; forteresse ; Hercule ; massue ; hydre de Lerne ; bouclier ; lance ; Minerve ; soleil ; Cerbère ; Méduse ; Arts (personnification) ; aigle ; Vents ; Fleuve (personnification)</t>
  </si>
  <si>
    <t>https://pba-opacweb.lille.fr/fr/search-notice/detail/num-md2053-jeto-32a11</t>
  </si>
  <si>
    <t>1704-06_177</t>
  </si>
  <si>
    <t>https://gallica.bnf.fr/ark:/12148/bpt6k6278066v/f181.item</t>
  </si>
  <si>
    <t>[Plan légendé de l'île de la Providence]*</t>
  </si>
  <si>
    <t>[L'Ile de la Providence]</t>
  </si>
  <si>
    <t>298021 : PROVIDENCE (Île de)</t>
  </si>
  <si>
    <t>île ; forteresse ; port ; mer</t>
  </si>
  <si>
    <t xml:space="preserve">sièges et plans d'ouvrages militaires  </t>
  </si>
  <si>
    <t>88123ee8-b8dc-4a7b-93b0-dd9353136ea6</t>
  </si>
  <si>
    <t>Coquart, Antoine (1668-1707) ; 84094</t>
  </si>
  <si>
    <t>Sur l'estampe : "A. Coquart. Scul." Peut-être d'après un dessin de l'architecte militaire espagnol Francisco Pérez (cf. Davis-Poirier)</t>
  </si>
  <si>
    <r>
      <rPr>
        <b/>
        <sz val="10"/>
        <color theme="1"/>
        <rFont val="Arial"/>
        <family val="2"/>
      </rPr>
      <t xml:space="preserve">Peggy Davis, Marie-Lise Poirier, "Imaginer l'Amérique : rôles et fonctions de la gravure dans le </t>
    </r>
    <r>
      <rPr>
        <b/>
        <i/>
        <sz val="10"/>
        <color theme="1"/>
        <rFont val="Arial"/>
        <family val="2"/>
      </rPr>
      <t>Mercure galant</t>
    </r>
    <r>
      <rPr>
        <b/>
        <sz val="10"/>
        <color theme="1"/>
        <rFont val="Arial"/>
        <family val="2"/>
      </rPr>
      <t>", à compléter</t>
    </r>
  </si>
  <si>
    <t>https://gallica.bnf.fr/ark:/12148/bpt6k6279330k/f215.item</t>
  </si>
  <si>
    <t>Alphabet antier pour apprendre à faire des routes sur terre et sur mer sans demander le chemin à personne et à les mettre en pratique dans les lieux les plus difficiles. Inventé par Mon.r Antier Perspecteur natif du Havre de Grace 1700</t>
  </si>
  <si>
    <t>[Système d'orientation spatiale]*</t>
  </si>
  <si>
    <t>[Alphabet]</t>
  </si>
  <si>
    <t>Hantier, Vincent [1645?-1725?] ; 84128</t>
  </si>
  <si>
    <t>1705-01_166</t>
  </si>
  <si>
    <t>https://gallica.bnf.fr/ark:/12148/bpt6k6291558d/f170.item</t>
  </si>
  <si>
    <t>Jettons de l'année 1705</t>
  </si>
  <si>
    <t>[Jetons de l'année 1705]*</t>
  </si>
  <si>
    <t>2907 : MARLY-LE-ROY</t>
  </si>
  <si>
    <t>jetons ; Pallas ; Neptune ; miroir ; lance ; bouclier ; Méduse ; lune ; globes de Coronelli ; cheval ; mer ; soleil ; massue ; Hercule ; aigle ; Jupiter ; géant ; foudre ; gerbe ; autel</t>
  </si>
  <si>
    <t>916ef98f-2cd4-41f0-87da-500f4f8d95a3</t>
  </si>
  <si>
    <t>Bénard, Jacques-François (fl.1704-1751) ; 84104</t>
  </si>
  <si>
    <t>Sur l'estampe : "J. F. Benard Sculp".</t>
  </si>
  <si>
    <t>1705-03_306</t>
  </si>
  <si>
    <t>[Piédestal antique découvert à Lyon en 1705 sur la colline de Fourvière]*</t>
  </si>
  <si>
    <t>[Estampe]</t>
  </si>
  <si>
    <t>543 : 
LYON, Colline de Fourvière</t>
  </si>
  <si>
    <t>archéologie ; sculpture</t>
  </si>
  <si>
    <t>piédestal ; taureau (animal) ; bélier (animal) ; épée</t>
  </si>
  <si>
    <t>1706-01_313</t>
  </si>
  <si>
    <t>https://gallica.bnf.fr/ark:/12148/bpt6k6517210x/f299.item</t>
  </si>
  <si>
    <t>Jettons de l'année 1706</t>
  </si>
  <si>
    <t>[Jetons de l'année 1706]*</t>
  </si>
  <si>
    <t>jetons ; laboureur ; mer ; géant ; sirène ; chêne ; champ ; colombe ; Protée ; phoque ; oranger ; montagne ; arrosoir ; abeille ; forteresse ; Vents</t>
  </si>
  <si>
    <t>https://gallica.bnf.fr/ark:/12148/bpt6k62914248/f171.item</t>
  </si>
  <si>
    <t>[Médaille représentant Léopold Ier de Habsbourg, empereur du Saint-Empire romain germanique]*</t>
  </si>
  <si>
    <t xml:space="preserve">médaille ; Hercule ; montagne ; massue ; Mercure ; caducée ; </t>
  </si>
  <si>
    <t>Leop. I. D. G. Lot. Bar. D. Rex. Ier. P. P. Et. Delitium</t>
  </si>
  <si>
    <t>Vitæ consulit. atque. ulæ. [Exergue :] SV .MDCCV.</t>
  </si>
  <si>
    <t>https://gallica.bnf.fr/ark:/12148/bpt6k6290209k/f36.item</t>
  </si>
  <si>
    <t>[Portrait du pape Clément XI]*</t>
  </si>
  <si>
    <t>[Portrait du Pape]</t>
  </si>
  <si>
    <t>médaille ; colombe ; globe terrestre ; pape</t>
  </si>
  <si>
    <t>409625bf-898d-4494-b00a-b09dc4192c99</t>
  </si>
  <si>
    <t xml:space="preserve">Albani, Giovanni Francesco (1649-1721) ; 276013 ; </t>
  </si>
  <si>
    <t>Clemens. XI. Pont. M. A. VI.</t>
  </si>
  <si>
    <t>Ipsum audite [Exergue :] Nanceil. Cus</t>
  </si>
  <si>
    <t>1707-01_162</t>
  </si>
  <si>
    <t>MG-1707-01_162</t>
  </si>
  <si>
    <t>https://gallica.bnf.fr/ark:/12148/bpt6k62914819/f167.item</t>
  </si>
  <si>
    <t>Jettons de l'année 1707</t>
  </si>
  <si>
    <t>[Jetons de l'année 1707]*</t>
  </si>
  <si>
    <t>[L'Estampe des Jetons]</t>
  </si>
  <si>
    <t>emblématique ; vie académique ; architecture</t>
  </si>
  <si>
    <t>jetons ; palmier ; boussole ; olivier ; aigle ; autel ; vase ; chêne ; champ ; piédestal ; flèche</t>
  </si>
  <si>
    <t>15 x 11,8 cm</t>
  </si>
  <si>
    <t>Sur l'estampe : "F. Ertinger Sc." D'après des devises de Oudinet, Marc-Antoine (1643-1712) ; oudinet_marc-antoine_(1643-1712) ; Moreau de Mautour, Philibert-Bernard (1654-1737) ; moreau_de_mautour_philibert-bernard_(1654-1737). Voir l'article afférent à l'estampe.</t>
  </si>
  <si>
    <t>https://catalogue.bnf.fr/ark:/12148/cb41970993x</t>
  </si>
  <si>
    <t>1708-01_144</t>
  </si>
  <si>
    <t>https://gallica.bnf.fr/ark:/12148/bpt6k63108711/f148.item</t>
  </si>
  <si>
    <t>[Jetons de l'année 1708]</t>
  </si>
  <si>
    <t>[Jetons de l'année 1708]*</t>
  </si>
  <si>
    <t>jetons ; épée ; Neptune ; char ; trident ; autel ; montagne ; Hercule ; bombe ; Aurore ; Cadmus ; dragon ; Achéloüs ; phénix ; Persée ; Méduse ; église</t>
  </si>
  <si>
    <t>14,4 x 12,3 cm</t>
  </si>
  <si>
    <t>Sur l'estampe : "F. Ertinger. S".</t>
  </si>
  <si>
    <t>https://catalogue.bnf.fr/ark:/12148/cb419686887</t>
  </si>
  <si>
    <t>1709-01_326</t>
  </si>
  <si>
    <t>https://gallica.bnf.fr/ark:/12148/bpt6k6293108r/f330.item</t>
  </si>
  <si>
    <t>[Jetons de l'année 1709]</t>
  </si>
  <si>
    <t>[Jetons de l'année 1709]*</t>
  </si>
  <si>
    <t>[Les jetons de l'année]</t>
  </si>
  <si>
    <t>jetons ; pièce d'artillerie ; Vulcain ; Vents ; miroir ; soleil ; caducée ; Hercule ; Fleuve (personnification) ; Minerve ; lance ; bouclier ; dragon du jardin des Hespérides ; enclume ; massue ; lyre (antique) ; chêne ; lys</t>
  </si>
  <si>
    <t>14,7 x 12,5 cm</t>
  </si>
  <si>
    <t>Sur l'estampe : "F Ertinger Sc".</t>
  </si>
  <si>
    <t>1709-03_137</t>
  </si>
  <si>
    <t>MG-1709-03_137</t>
  </si>
  <si>
    <t>https://gallica.bnf.fr/ark:/12148/bpt6k63092665/f141.item</t>
  </si>
  <si>
    <t>[Plan de l'église des Feuillants à Paris]*</t>
  </si>
  <si>
    <t>[Le Plan de l'Église des Feüillans]</t>
  </si>
  <si>
    <t>294859 : PARIS, Couvent des Feuillants, église</t>
  </si>
  <si>
    <t xml:space="preserve">architecture ; religion ; </t>
  </si>
  <si>
    <t>13,4 x 7,7 cm</t>
  </si>
  <si>
    <t>1710-02_197</t>
  </si>
  <si>
    <t>https://gallica.bnf.fr/ark:/12148/bpt6k63084172/f201.item</t>
  </si>
  <si>
    <t>[Jettons de l'année 1710]</t>
  </si>
  <si>
    <t>[Jetons de l'année 1710]*</t>
  </si>
  <si>
    <t>jetons ; pièce d'artillerie ; boussole ; Hercule ; ruche ; abeille ; arc-en-ciel ; soleil ; phénix ; fleuve, rivière, ruisseau ; cep de vigne ; huître</t>
  </si>
  <si>
    <t>16 x 13,3 cm</t>
  </si>
  <si>
    <t>1683-06e_318</t>
  </si>
  <si>
    <t>Lyon, Bibliothèque municipale, 807157, t. 22.</t>
  </si>
  <si>
    <t>19,7 x 12,8 cm</t>
  </si>
  <si>
    <t>Traité de Comiers "Suite du traité des lunettes" [troisième partie]. "Suite du traité des lunettes". Sur la gravure : "1677". https://gallica.bnf.fr/ark:/12148/bpt6k56069895</t>
  </si>
  <si>
    <t>1683-06e_317</t>
  </si>
  <si>
    <t>Numéro pas disponible dans Gallica au 20/05/21</t>
  </si>
  <si>
    <t>La Pantographie ou l'art de contretirer proportionnellement toutes sortes de Figures, et de dessigner les objets daussi loin quils peuvent estre veus par le Telescope ou grande Lunete. Par Mr Comiers P. de T. 1677</t>
  </si>
  <si>
    <t>19,8 x 12,3 cm</t>
  </si>
  <si>
    <t xml:space="preserve">Article à </t>
  </si>
  <si>
    <t>[Ordre de bataille tenu en Flandres sous le commandement du Maréchal duc de Luxembourg]*</t>
  </si>
  <si>
    <t>33 x 21,3 cm</t>
  </si>
  <si>
    <t>Estampe manque dans 8-LC2-33 sur Gallica. Vérifier ARS : [Louise 29/07 : je confirme que l'estampe se trouve à l'Arsenal p. 302]</t>
  </si>
  <si>
    <t>BnF, Ars, 8-H-26484(254)</t>
  </si>
  <si>
    <r>
      <t>https://gallica.bnf.fr/ark:/12148/bpt6k6274143z/f227.item</t>
    </r>
    <r>
      <rPr>
        <u/>
        <sz val="10"/>
        <color theme="10"/>
        <rFont val="Arial"/>
        <family val="2"/>
        <scheme val="minor"/>
      </rPr>
      <t xml:space="preserve"> ; Planche manque dans Gallica au 20/05/21. Commande cliché Ars. le 18/10/22</t>
    </r>
  </si>
  <si>
    <t>[La liste des vaisseaux du roi par département]*</t>
  </si>
  <si>
    <t>2288 : ROCHEFORT ; 1937 : BREST ; 294217 : PORT-LOUIS [Évêché de Vannes] ; 2525 : LE HAVRE DE GRÂCE ; 2698 : DUNKERQUE ; 2689 : TOULON [Diocèse de Toulon]</t>
  </si>
  <si>
    <t>25,5 x 44,5 cm</t>
  </si>
  <si>
    <t>Estampe manque dans 8-LC2-33 sur Gallica. Vérifier ARS : [Louise 29/07 : je confirme que l'estampe se trouve à l'Arsenal p. 225</t>
  </si>
  <si>
    <t>MG-1686-12b_322</t>
  </si>
  <si>
    <r>
      <rPr>
        <sz val="9"/>
        <rFont val="Arial (Corps)"/>
      </rPr>
      <t xml:space="preserve">Article incomplet : </t>
    </r>
    <r>
      <rPr>
        <u/>
        <sz val="9"/>
        <color rgb="FF1155CC"/>
        <rFont val="Arial (Corps)"/>
      </rPr>
      <t>MG-1682-12_205</t>
    </r>
  </si>
  <si>
    <t>Article transcrit: ?</t>
  </si>
  <si>
    <t>MG-1678-03e_491</t>
  </si>
  <si>
    <t>MG-1678-03e_494?? Histoire de la fausse morte</t>
  </si>
  <si>
    <t>Article transcrit : MG-1681-09_310</t>
  </si>
  <si>
    <t>MG-1683-09_198</t>
  </si>
  <si>
    <t>MG-1687-08a_159</t>
  </si>
  <si>
    <t>1694-03_199</t>
  </si>
  <si>
    <t>Article à transcrire 1678-04_390</t>
  </si>
  <si>
    <t>1678-05_373 à transcrire</t>
  </si>
  <si>
    <t xml:space="preserve">1678-05_284 à transcrire </t>
  </si>
  <si>
    <t>1678-05_025 transcrit</t>
  </si>
  <si>
    <t>1678-06_244 à transcrire</t>
  </si>
  <si>
    <t>MG-1678-06e_043 à transcrire</t>
  </si>
  <si>
    <t>1678-06e_296 à transcrire</t>
  </si>
  <si>
    <t>1678-07_295 à transcrire</t>
  </si>
  <si>
    <t>1678-08_249 à transcrire</t>
  </si>
  <si>
    <t>1678-08_353 à transcrire</t>
  </si>
  <si>
    <t>1678-09_061 à transcrire</t>
  </si>
  <si>
    <t>1678-09_334 à transcrire</t>
  </si>
  <si>
    <t>1678-09_359 à transcrire</t>
  </si>
  <si>
    <t>1678-10_063 à transcrire</t>
  </si>
  <si>
    <t>1678-10_361 à transcrire</t>
  </si>
  <si>
    <t>https://gallica.bnf.fr/ark:/12148/bpt6k115289k/f294.item</t>
  </si>
  <si>
    <t>1678-11_272  à transcrire</t>
  </si>
  <si>
    <t>[Article des énigmes]</t>
  </si>
  <si>
    <t>1678-11_360 à transcrire</t>
  </si>
  <si>
    <t>1678-12_096 à transcrire</t>
  </si>
  <si>
    <t>1678-12_271 à transcrire</t>
  </si>
  <si>
    <t>1679-01_299 à transcrire</t>
  </si>
  <si>
    <t>MG-1679-02_357</t>
  </si>
  <si>
    <t>https://gallica.bnf.fr/ark:/12148/bpt6k6261188b/f277.item</t>
  </si>
  <si>
    <t>[Figure représentant une baguette]*</t>
  </si>
  <si>
    <t>1693-03_166</t>
  </si>
  <si>
    <t>1693-05_245</t>
  </si>
  <si>
    <t>1693-08a_310</t>
  </si>
  <si>
    <t>1693-12_007</t>
  </si>
  <si>
    <t>1694-08_227</t>
  </si>
  <si>
    <t>1694-04_112</t>
  </si>
  <si>
    <t>1692-05_217</t>
  </si>
  <si>
    <t>1692-02a_307b</t>
  </si>
  <si>
    <t>1692-02a_307a</t>
  </si>
  <si>
    <t>1677-09_212</t>
  </si>
  <si>
    <t>1678-01_144</t>
  </si>
  <si>
    <t>1678-01_246</t>
  </si>
  <si>
    <t>1678-02_073</t>
  </si>
  <si>
    <t>1678-02_328</t>
  </si>
  <si>
    <t>1678-03e_521a</t>
  </si>
  <si>
    <t>1678-03e_521b</t>
  </si>
  <si>
    <t>1678-04_306a</t>
  </si>
  <si>
    <t>1678-05_128a</t>
  </si>
  <si>
    <t>1678-05_128b</t>
  </si>
  <si>
    <t>1678-05_284</t>
  </si>
  <si>
    <t>1678-05_358</t>
  </si>
  <si>
    <t>1678-06_025a</t>
  </si>
  <si>
    <t>1678-06_025b</t>
  </si>
  <si>
    <t>1678-06_244</t>
  </si>
  <si>
    <t>1678-06e_043a</t>
  </si>
  <si>
    <t>1678-06e_043b</t>
  </si>
  <si>
    <t>1678-07_295a</t>
  </si>
  <si>
    <t>1678-07_295b</t>
  </si>
  <si>
    <t>1687-02_001</t>
  </si>
  <si>
    <t>1687-02_073</t>
  </si>
  <si>
    <t>1686-12b_322</t>
  </si>
  <si>
    <t>1686-06_080</t>
  </si>
  <si>
    <t>1686-04_215</t>
  </si>
  <si>
    <t>1686-02b_159</t>
  </si>
  <si>
    <t>1685-07_263</t>
  </si>
  <si>
    <t>1684-03_067</t>
  </si>
  <si>
    <t>1684-01_040</t>
  </si>
  <si>
    <t>1683-12_073</t>
  </si>
  <si>
    <t>1683-10a_143</t>
  </si>
  <si>
    <t>1683-03_309</t>
  </si>
  <si>
    <t>1682-12_205</t>
  </si>
  <si>
    <t>1682-09b_209</t>
  </si>
  <si>
    <t>1682-09b_242</t>
  </si>
  <si>
    <t>1682-08_122</t>
  </si>
  <si>
    <t>1682-05_009</t>
  </si>
  <si>
    <t>1682-03e_251</t>
  </si>
  <si>
    <t>1682-02_295</t>
  </si>
  <si>
    <t>1682-01_291</t>
  </si>
  <si>
    <t>1681-09_310</t>
  </si>
  <si>
    <t>1681-08_080</t>
  </si>
  <si>
    <t>1681-06_162b</t>
  </si>
  <si>
    <t>1681-06_162a</t>
  </si>
  <si>
    <t>1681-03e_167</t>
  </si>
  <si>
    <t>1681-03_063b</t>
  </si>
  <si>
    <t>1681-03_063a</t>
  </si>
  <si>
    <t>1681-01_076</t>
  </si>
  <si>
    <t>1680-05_295</t>
  </si>
  <si>
    <t>1680-05_081</t>
  </si>
  <si>
    <t>1680-03b_230</t>
  </si>
  <si>
    <t>1680-03b_088</t>
  </si>
  <si>
    <t>1680-03b_024</t>
  </si>
  <si>
    <t>1680-01a_245</t>
  </si>
  <si>
    <t>1679-11_174</t>
  </si>
  <si>
    <t>1679-10b_043b</t>
  </si>
  <si>
    <t>1679-10b_043a</t>
  </si>
  <si>
    <t>1679-09e_325</t>
  </si>
  <si>
    <t>1679-09_055</t>
  </si>
  <si>
    <t>1679-08_146</t>
  </si>
  <si>
    <t>1679-07_363</t>
  </si>
  <si>
    <t>1679-06_326</t>
  </si>
  <si>
    <t>1679-05_001</t>
  </si>
  <si>
    <t>1679-04_248</t>
  </si>
  <si>
    <t>1679-02_219</t>
  </si>
  <si>
    <t>1679-01_327</t>
  </si>
  <si>
    <t>1679-01_299</t>
  </si>
  <si>
    <t>1679-01_013</t>
  </si>
  <si>
    <t>1678-12e_348</t>
  </si>
  <si>
    <t>1678-12_291</t>
  </si>
  <si>
    <t>1678-12_271</t>
  </si>
  <si>
    <t>1678-12_096</t>
  </si>
  <si>
    <t>1678-11_322</t>
  </si>
  <si>
    <t>1678-08_249</t>
  </si>
  <si>
    <t>1678-09_061</t>
  </si>
  <si>
    <t>1678-09e_122</t>
  </si>
  <si>
    <t>1678-09e_390</t>
  </si>
  <si>
    <t>1678-10_351</t>
  </si>
  <si>
    <t>1678-10_361a</t>
  </si>
  <si>
    <t>1678-10_361b</t>
  </si>
  <si>
    <t>1678-11_001</t>
  </si>
  <si>
    <t>1678-11_272</t>
  </si>
  <si>
    <t>1688-09a_237</t>
  </si>
  <si>
    <t>1688-12a_131</t>
  </si>
  <si>
    <t>1690-09_187</t>
  </si>
  <si>
    <t>1694-10_159</t>
  </si>
  <si>
    <t>1694-10_254</t>
  </si>
  <si>
    <t>1694-11_250</t>
  </si>
  <si>
    <t>1695-04_157</t>
  </si>
  <si>
    <t>1695-05_244</t>
  </si>
  <si>
    <t>1695-10_061</t>
  </si>
  <si>
    <t>1695-11_089</t>
  </si>
  <si>
    <t>1695-12_140</t>
  </si>
  <si>
    <t>1696-05_142</t>
  </si>
  <si>
    <t>1696-06_220</t>
  </si>
  <si>
    <t>1696-08_280</t>
  </si>
  <si>
    <t>https://gallica.bnf.fr/ark:/12148/bpt6k6258899f/f158.item</t>
  </si>
  <si>
    <t>transcrit AP 2023</t>
  </si>
  <si>
    <r>
      <rPr>
        <sz val="9"/>
        <color theme="7"/>
        <rFont val="Arial (Corps)"/>
      </rPr>
      <t>transcrit AP 202</t>
    </r>
    <r>
      <rPr>
        <sz val="9"/>
        <color theme="1"/>
        <rFont val="Arial (Corps)"/>
      </rPr>
      <t>3</t>
    </r>
  </si>
  <si>
    <t>1694-09_125</t>
  </si>
  <si>
    <t>1697-01_193</t>
  </si>
  <si>
    <t>1697-06_220</t>
  </si>
  <si>
    <t>1697-07_244</t>
  </si>
  <si>
    <t>1699-10_214</t>
  </si>
  <si>
    <t>[Coiffes de deuil]*</t>
  </si>
  <si>
    <t>1700-02_075</t>
  </si>
  <si>
    <t>1700-03_173</t>
  </si>
  <si>
    <t>1700-10_138</t>
  </si>
  <si>
    <t>1701-04b_003</t>
  </si>
  <si>
    <t>1701-07_303</t>
  </si>
  <si>
    <t>1702-10_063</t>
  </si>
  <si>
    <t>1703-02_071</t>
  </si>
  <si>
    <t>1703-01_136</t>
  </si>
  <si>
    <t>1704-12_204</t>
  </si>
  <si>
    <t>Article Amérique</t>
  </si>
  <si>
    <t>https://gallica.bn+F472</t>
  </si>
  <si>
    <t>Article transcrit AP</t>
  </si>
  <si>
    <t>1706-03_167</t>
  </si>
  <si>
    <t>1706-11_005</t>
  </si>
  <si>
    <t>transcription en cours</t>
  </si>
  <si>
    <t xml:space="preserve">Autre relevé, commenté, de la cloche figurant sur ce plan : https://catalogue.bnf.fr/ark:/12148/cb41504283h </t>
  </si>
  <si>
    <t>Traité de Comiers "Suite du traité des lunettes" [troisième partie]. Sur la gravure : "1677". https://gallica.bnf.fr/ark:/12148/bpt6k56069895</t>
  </si>
  <si>
    <t>Le principe du pantographe, outil de reproduction de dessins à différentes échelles (aussi appelé singe), a été énoncé en 1603 par le jésuite Christophe Scheiner. Voir aussi article dans l'Encyclopédie, XI, p. 827.</t>
  </si>
  <si>
    <t>Lavau, Louis de (?-1694), abbé</t>
  </si>
  <si>
    <t>physique ; héraldique</t>
  </si>
  <si>
    <t>anatomie humaine ; médecine ; tératologie ;</t>
  </si>
  <si>
    <t>[Lithopédion]*</t>
  </si>
  <si>
    <t>[Médaille avec légende versifiée : portrait du chancelier Louis Boucherat gravé à la demande des Grands Officiers de la Chancellerie de France]*</t>
  </si>
  <si>
    <t>Lucas, conseiller au parlement de Toulouse</t>
  </si>
  <si>
    <t>dioptrique</t>
  </si>
  <si>
    <t>dioptrique ; héraldique ;</t>
  </si>
  <si>
    <t>[Planche du traité de dioptrique de Comiers]*</t>
  </si>
  <si>
    <t>[Autre planche du traité de dioptrique de Comiers]*</t>
  </si>
  <si>
    <t>[Planche du traité de dioptrique de Comiers figurant un binocle accompagné d'une légende sur son fonctionnement]*</t>
  </si>
  <si>
    <t>Planche du traité de dioptrique de Comiers "Cinquieme partie du traité des lunetes dedié à Monseigneur le duc de Bourgogne".</t>
  </si>
  <si>
    <t>Planche du traité de dioptrique de Comiers "Septieme partie du traité des lunetes".</t>
  </si>
  <si>
    <t>Planche du traité de dioptrique de Comiers "Dixieme partie du traité des lunetes".</t>
  </si>
  <si>
    <r>
      <t xml:space="preserve">"L'obélisque fut gravé par François de Poilly. La Commune [d'Arles] députa M. Roubin, membre de l'Académie d'Arles, pour aller à Paris en présenter à S. M. les premières gravures." NOBLE DE LALAUZIERE, Jean-François, </t>
    </r>
    <r>
      <rPr>
        <b/>
        <i/>
        <sz val="10"/>
        <color theme="1"/>
        <rFont val="Arial"/>
        <family val="2"/>
      </rPr>
      <t>Abrégé chronologique de l'histoire d'Arles</t>
    </r>
    <r>
      <rPr>
        <b/>
        <sz val="10"/>
        <color theme="1"/>
        <rFont val="Arial"/>
        <family val="2"/>
      </rPr>
      <t xml:space="preserve"> [...], Arles, Imprimerie de Gaspard Mesnier, 1808, p. 491.</t>
    </r>
  </si>
  <si>
    <t>[Plan de table de banquet donné par Louis XIV à Versailles]*</t>
  </si>
  <si>
    <t>[Plan de table de banquet donné à Saint-Cloud]*</t>
  </si>
  <si>
    <t>[Mobilier d'apparat : trois piédestaux renfermant un siège]*</t>
  </si>
  <si>
    <t>article transcrit fichier xml</t>
  </si>
  <si>
    <r>
      <t>"Mr Bérin Désignateur ordinaire du Cabinet du Roy [...] en a fait tous les Desseins, &amp; Mr le Pautre les a gravez." (</t>
    </r>
    <r>
      <rPr>
        <b/>
        <i/>
        <sz val="10"/>
        <color theme="1"/>
        <rFont val="Arial"/>
        <family val="2"/>
      </rPr>
      <t>Extraordinaire du Mercure galant</t>
    </r>
    <r>
      <rPr>
        <b/>
        <sz val="10"/>
        <color theme="1"/>
        <rFont val="Arial"/>
        <family val="2"/>
      </rPr>
      <t>, quartier de janvier 1678 (tome I), p. 544).</t>
    </r>
  </si>
  <si>
    <r>
      <t xml:space="preserve">Sur l'estampe : "A. T. F." Pourrait-il s'agir d'Antoine Trouvain ? </t>
    </r>
    <r>
      <rPr>
        <b/>
        <sz val="10"/>
        <color rgb="FFFF00FF"/>
        <rFont val="Arial"/>
        <family val="2"/>
      </rPr>
      <t>[comparer avec les estampes du même graveur]</t>
    </r>
  </si>
  <si>
    <r>
      <t xml:space="preserve">D'après une gravure de L. Meunier rattachée à une suite d'estampes intitulée </t>
    </r>
    <r>
      <rPr>
        <b/>
        <i/>
        <sz val="10"/>
        <color theme="1"/>
        <rFont val="Arial"/>
        <family val="2"/>
      </rPr>
      <t xml:space="preserve">Diversas vistas differentes veues des palais et Jardins de Plaisance des Rois despagne </t>
    </r>
    <r>
      <rPr>
        <b/>
        <sz val="10"/>
        <color theme="1"/>
        <rFont val="Arial"/>
        <family val="2"/>
      </rPr>
      <t>dedie a la Reine (n. d.).</t>
    </r>
  </si>
  <si>
    <r>
      <t xml:space="preserve">Sur l'estampe : "Dolivar fecit". </t>
    </r>
    <r>
      <rPr>
        <b/>
        <sz val="10"/>
        <color rgb="FFFF00FF"/>
        <rFont val="Arial"/>
        <family val="2"/>
      </rPr>
      <t>Chéron, Charles Jean-François (d'après une médaille de) ;</t>
    </r>
  </si>
  <si>
    <t>[Revers d'une médaille sur la vie du roi frappée à l'occasion de la protection accordée au roi et à la reine d'Angleterre]*</t>
  </si>
  <si>
    <t>Ob regem reginam et principem magnæ britannæ servatos. Ludovico magno</t>
  </si>
  <si>
    <t>Ménestrier 1689 f. 33</t>
  </si>
  <si>
    <t>[Médaille sur la vie du roi frappée après la conquête de la Franche-Comté, représentant la Fortune entourée des armes franc-comtoises]*</t>
  </si>
  <si>
    <r>
      <rPr>
        <b/>
        <u/>
        <sz val="10"/>
        <color rgb="FFFF0000"/>
        <rFont val="Arial"/>
        <family val="2"/>
      </rPr>
      <t xml:space="preserve">voir aussi https://www.musee-conde.fr/fr/notice/ph-492-la-statue-de-louis-xiv-terrassant-la-fronde-chantilly-cour-de-la-capitainerie-bd6e5595-014e-4a14-b695-eac417c66dbc ; </t>
    </r>
    <r>
      <rPr>
        <b/>
        <u/>
        <sz val="10"/>
        <color rgb="FF1155CC"/>
        <rFont val="Arial"/>
        <family val="2"/>
      </rPr>
      <t>https://gallica.bnf.fr/ark:/12148 ; btv1b550039004</t>
    </r>
    <r>
      <rPr>
        <b/>
        <u/>
        <sz val="10"/>
        <color rgb="FF000000"/>
        <rFont val="Arial"/>
        <family val="2"/>
      </rPr>
      <t xml:space="preserve"> ; </t>
    </r>
    <r>
      <rPr>
        <b/>
        <u/>
        <sz val="10"/>
        <color rgb="FF1155CC"/>
        <rFont val="Arial"/>
        <family val="2"/>
      </rPr>
      <t>https://data.bnf.fr/fr/12356952/cornelis_vermeulen/</t>
    </r>
    <r>
      <rPr>
        <b/>
        <u/>
        <sz val="10"/>
        <color rgb="FF000000"/>
        <rFont val="Arial"/>
        <family val="2"/>
      </rPr>
      <t xml:space="preserve"> </t>
    </r>
  </si>
  <si>
    <t>[Médailles offertes par Mr du Bois-Guérin au roi, au dauphin et à Monsieur : Louis XIV foulant la Fronde]*</t>
  </si>
  <si>
    <t>https://www.persee.fr/doc/bsnaf_0081-1181_2012_num_2006_1_10985</t>
  </si>
  <si>
    <t>1678-04_306b</t>
  </si>
  <si>
    <t>1692-01a_288</t>
  </si>
  <si>
    <t>1683-12e_166</t>
  </si>
  <si>
    <t>1680-01b_207</t>
  </si>
  <si>
    <t>1679-12_328x ; 1679-12_328y</t>
  </si>
  <si>
    <t>1679-09_365</t>
  </si>
  <si>
    <t>1678-09_359</t>
  </si>
  <si>
    <t>1678-09_334</t>
  </si>
  <si>
    <t>planche scientifique ; planche de texte (types de représentation)</t>
  </si>
  <si>
    <t xml:space="preserve">écriture ; alphabet (écriture) ; </t>
  </si>
  <si>
    <t>planche de texte (types de représentation)</t>
  </si>
  <si>
    <t>[texte de prophétie en turc ottoman]*</t>
  </si>
  <si>
    <t>texte en turc ottoman ;</t>
  </si>
  <si>
    <t>planche de texte</t>
  </si>
  <si>
    <t>camera obscura ;  lentille</t>
  </si>
  <si>
    <t>anémoscope ; armoiries ; couronne</t>
  </si>
  <si>
    <t>1684-06a_140</t>
  </si>
  <si>
    <t>lentille ; camera obscura ;</t>
  </si>
  <si>
    <t>télescope ;</t>
  </si>
  <si>
    <t>lentille ; église ; fleuve, rivière, ruisseau ; montagne ;</t>
  </si>
  <si>
    <t>lunette d'optique ;</t>
  </si>
  <si>
    <t>lentille ;</t>
  </si>
  <si>
    <t>binocle ; armoiries ;</t>
  </si>
  <si>
    <t>écriture codée; figure géométrique ;</t>
  </si>
  <si>
    <t>cadran ou horloge ;</t>
  </si>
  <si>
    <t>système d'orientation spatiale ; église ;</t>
  </si>
  <si>
    <t>médaille ; piédestal ; cuirasse</t>
  </si>
  <si>
    <t>1687-09a_269</t>
  </si>
  <si>
    <t>1689-01a_215</t>
  </si>
  <si>
    <t>1689-04a_236</t>
  </si>
  <si>
    <t>1689-06a_305</t>
  </si>
  <si>
    <t>1678-06e_397a</t>
  </si>
  <si>
    <t>1678-06e_397b</t>
  </si>
  <si>
    <t>1678-04_414</t>
  </si>
  <si>
    <t>40,1 x 27,6 cm</t>
  </si>
  <si>
    <t>40,2 x 27,4 cm</t>
  </si>
  <si>
    <r>
      <t xml:space="preserve">15,3 x 23,3 </t>
    </r>
    <r>
      <rPr>
        <sz val="10"/>
        <color theme="1"/>
        <rFont val="Arial"/>
        <family val="2"/>
      </rPr>
      <t>cm</t>
    </r>
  </si>
  <si>
    <t>10,6 x 12,6 cm</t>
  </si>
  <si>
    <t>24,5 x 13,2 cm (l2 img)</t>
  </si>
  <si>
    <t>25 x 13 cm</t>
  </si>
  <si>
    <t>25 x 13,4 cm</t>
  </si>
  <si>
    <t>23,9 x 13,6 cm</t>
  </si>
  <si>
    <t>MG-1682-06e_009</t>
  </si>
  <si>
    <t>MG-1682-06e_148</t>
  </si>
  <si>
    <t xml:space="preserve">Belon, Pierre (1517-1564), dit Bellonius, naturaliste ; Rondelet, Guillaume (1507-1566), naturaliste; Pline l'Ancien (23-79) ; </t>
  </si>
  <si>
    <t>transcrit</t>
  </si>
  <si>
    <t>1678-03e_491a</t>
  </si>
  <si>
    <t>1678-03e_491b</t>
  </si>
  <si>
    <t>1678-03e_508a</t>
  </si>
  <si>
    <t>1678-03e_508b</t>
  </si>
  <si>
    <t>Relevés décoratifs de la porte de Mars publiés en juin.</t>
  </si>
  <si>
    <t>Relevés décoratifs de la porte de Mars publiés en mai.</t>
  </si>
  <si>
    <t>12,7 x 7,6 cm</t>
  </si>
  <si>
    <r>
      <t xml:space="preserve">D'après une médaille frappée à Amsterdam en 1678 pour célébrer les traités de Nimègue (cf. BIZOT, Pierre, </t>
    </r>
    <r>
      <rPr>
        <b/>
        <i/>
        <sz val="10"/>
        <color theme="1"/>
        <rFont val="Arial"/>
        <family val="2"/>
      </rPr>
      <t>Histoire métallique de la république de Hollande</t>
    </r>
    <r>
      <rPr>
        <b/>
        <sz val="10"/>
        <color theme="1"/>
        <rFont val="Arial"/>
        <family val="2"/>
      </rPr>
      <t>, Amsterdam, Pierre Mortier, 1688, p. 307).</t>
    </r>
  </si>
  <si>
    <t>Sur l'avers de la médaille : "De La Haye".</t>
  </si>
  <si>
    <t>Une des médailles le plus souvent offertes par le roi aux représentants étrangers</t>
  </si>
  <si>
    <t>[Portrait en médaille de Pierre Jurieu]*</t>
  </si>
  <si>
    <t>Leclerc, Sébastien ; 83924</t>
  </si>
  <si>
    <t>Mémoires, Volumes 3-4, Par Fédération des sociétés historiques et archéologiques de Paris et de l'Ile-de-France · 1953, p. 207</t>
  </si>
  <si>
    <t>Présentation au roi de l'estampe représentant l'obélisque d'Arles</t>
  </si>
  <si>
    <t>médaille ; mulet ; épée ; chêne ; Absalon</t>
  </si>
  <si>
    <t>[Médaille commémorant la victoire de Bézeviers]*</t>
  </si>
  <si>
    <t>Ruyter, Michiel de [1607-1676] ; 83942 ; Lauderdale, Charles Maitland [ca. 1620-1691], comte de ; 84026 ; juan_domingo_de_zuniga_y_fonseca_(1640-1676) ; cornelis_de_witt_(1623-1672) ; johan_de_witt (1625-1672) ;</t>
  </si>
  <si>
    <t>c03b4556-8802-41b5-8473-55df26ae6e61 ; 64453173-7dfe-41d9-8835-a027adf6cea6 ; f22d1012-483a-40c1-a3ec-e5b8cc0bfd85 ; 32f0d286-ef67-44f0-b875-34d6d2c98964 ; ; 380ed96f-f1b0-4765-a935-603f53e96793</t>
  </si>
  <si>
    <t>[Pièce d'un feu d'artifice tiré devant l'hôtel de ville de Paris pour célébrer la paix de Nimègue]*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</si>
</sst>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3">
    <font>
      <sz val="10"/>
      <color rgb="FF000000"/>
      <name val="Arial"/>
      <scheme val="minor"/>
    </font>
    <font>
      <sz val="12"/>
      <color theme="1"/>
      <name val="Arial"/>
      <family val="2"/>
      <scheme val="minor"/>
    </font>
    <font>
      <b/>
      <sz val="10"/>
      <color rgb="FF000000"/>
      <name val="Roboto"/>
    </font>
    <font>
      <b/>
      <sz val="10"/>
      <color rgb="FF000000"/>
      <name val="Arial"/>
      <family val="2"/>
    </font>
    <font>
      <b/>
      <sz val="10"/>
      <color theme="1"/>
      <name val="Arial"/>
      <family val="2"/>
    </font>
    <font>
      <b/>
      <sz val="11"/>
      <color theme="1"/>
      <name val="Courier New"/>
      <family val="1"/>
    </font>
    <font>
      <b/>
      <sz val="10"/>
      <color rgb="FF000000"/>
      <name val="Comic Sans MS"/>
      <family val="4"/>
    </font>
    <font>
      <b/>
      <sz val="10"/>
      <color theme="1"/>
      <name val="Comic Sans MS"/>
      <family val="4"/>
    </font>
    <font>
      <b/>
      <sz val="10"/>
      <color rgb="FF00000A"/>
      <name val="Roboto"/>
    </font>
    <font>
      <b/>
      <sz val="10"/>
      <color theme="1"/>
      <name val="Roboto"/>
    </font>
    <font>
      <b/>
      <u/>
      <sz val="10"/>
      <color rgb="FF1155CC"/>
      <name val="Arial"/>
      <family val="2"/>
    </font>
    <font>
      <b/>
      <u/>
      <sz val="10"/>
      <color rgb="FF1155CC"/>
      <name val="Roboto"/>
    </font>
    <font>
      <b/>
      <sz val="10"/>
      <color rgb="FF00000A"/>
      <name val="Comic Sans MS"/>
      <family val="4"/>
    </font>
    <font>
      <b/>
      <sz val="10"/>
      <color rgb="FF00000A"/>
      <name val="Arial"/>
      <family val="2"/>
    </font>
    <font>
      <b/>
      <u/>
      <sz val="10"/>
      <color rgb="FF1155CC"/>
      <name val="Arial"/>
      <family val="2"/>
    </font>
    <font>
      <b/>
      <u/>
      <sz val="10"/>
      <color rgb="FF1155CC"/>
      <name val="Roboto"/>
    </font>
    <font>
      <sz val="10"/>
      <color theme="1"/>
      <name val="Arial"/>
      <family val="2"/>
    </font>
    <font>
      <b/>
      <u/>
      <sz val="10"/>
      <color theme="1"/>
      <name val="Arial"/>
      <family val="2"/>
    </font>
    <font>
      <b/>
      <u/>
      <sz val="10"/>
      <color rgb="FF1155CC"/>
      <name val="Arial"/>
      <family val="2"/>
    </font>
    <font>
      <b/>
      <u/>
      <sz val="10"/>
      <color rgb="FF0000FF"/>
      <name val="Arial"/>
      <family val="2"/>
    </font>
    <font>
      <b/>
      <u/>
      <sz val="10"/>
      <color rgb="FF0000FF"/>
      <name val="Arial"/>
      <family val="2"/>
    </font>
    <font>
      <sz val="11"/>
      <color rgb="FF000000"/>
      <name val="Calibri"/>
      <family val="2"/>
    </font>
    <font>
      <b/>
      <u/>
      <sz val="10"/>
      <color theme="1"/>
      <name val="Arial"/>
      <family val="2"/>
    </font>
    <font>
      <b/>
      <u/>
      <sz val="10"/>
      <color rgb="FF1155CC"/>
      <name val="Arial"/>
      <family val="2"/>
    </font>
    <font>
      <b/>
      <sz val="10"/>
      <color rgb="FFFF00FF"/>
      <name val="Arial"/>
      <family val="2"/>
    </font>
    <font>
      <b/>
      <u/>
      <sz val="9"/>
      <color rgb="FF1155CC"/>
      <name val="Arial"/>
      <family val="2"/>
    </font>
    <font>
      <b/>
      <sz val="10"/>
      <color rgb="FFFF0000"/>
      <name val="Arial"/>
      <family val="2"/>
    </font>
    <font>
      <b/>
      <u/>
      <sz val="10"/>
      <color rgb="FFFF00FF"/>
      <name val="Arial"/>
      <family val="2"/>
    </font>
    <font>
      <b/>
      <u/>
      <sz val="9"/>
      <color rgb="FF1155CC"/>
      <name val="Arial"/>
      <family val="2"/>
    </font>
    <font>
      <b/>
      <u/>
      <sz val="9"/>
      <color rgb="FF1155CC"/>
      <name val="Arial"/>
      <family val="2"/>
    </font>
    <font>
      <b/>
      <sz val="9"/>
      <color theme="1"/>
      <name val="Arial"/>
      <family val="2"/>
    </font>
    <font>
      <b/>
      <u/>
      <sz val="10"/>
      <color rgb="FF1155CC"/>
      <name val="Arial"/>
      <family val="2"/>
    </font>
    <font>
      <b/>
      <u/>
      <sz val="10"/>
      <color rgb="FF1155CC"/>
      <name val="Times New Roman"/>
      <family val="1"/>
    </font>
    <font>
      <b/>
      <sz val="12"/>
      <color theme="1"/>
      <name val="Calibri"/>
      <family val="2"/>
    </font>
    <font>
      <sz val="12"/>
      <color theme="1"/>
      <name val="Calibri"/>
      <family val="2"/>
    </font>
    <font>
      <b/>
      <u/>
      <sz val="10"/>
      <color rgb="FF000000"/>
      <name val="Arial"/>
      <family val="2"/>
    </font>
    <font>
      <b/>
      <sz val="11"/>
      <color rgb="FFFF00FF"/>
      <name val="Courier New"/>
      <family val="1"/>
    </font>
    <font>
      <b/>
      <u/>
      <sz val="10"/>
      <color rgb="FF1155CC"/>
      <name val="Times New Roman"/>
      <family val="1"/>
    </font>
    <font>
      <b/>
      <u/>
      <sz val="10"/>
      <color rgb="FF1155CC"/>
      <name val="Arial"/>
      <family val="2"/>
    </font>
    <font>
      <b/>
      <u/>
      <sz val="10"/>
      <color rgb="FF1155CC"/>
      <name val="Arial"/>
      <family val="2"/>
    </font>
    <font>
      <b/>
      <u/>
      <sz val="9"/>
      <color rgb="FF1155CC"/>
      <name val="Arial"/>
      <family val="2"/>
    </font>
    <font>
      <sz val="10"/>
      <color rgb="FF4285F4"/>
      <name val="Arial"/>
      <family val="2"/>
    </font>
    <font>
      <sz val="10"/>
      <color rgb="FF000000"/>
      <name val="Arial"/>
      <family val="2"/>
    </font>
    <font>
      <b/>
      <sz val="10"/>
      <color theme="5"/>
      <name val="Arial"/>
      <family val="2"/>
    </font>
    <font>
      <b/>
      <u/>
      <sz val="10"/>
      <color theme="1"/>
      <name val="Arial"/>
      <family val="2"/>
    </font>
    <font>
      <b/>
      <sz val="10"/>
      <color rgb="FFFF00FF"/>
      <name val="Comic Sans MS"/>
      <family val="4"/>
    </font>
    <font>
      <b/>
      <sz val="10"/>
      <color theme="1"/>
      <name val="Garamond"/>
      <family val="1"/>
    </font>
    <font>
      <b/>
      <u/>
      <sz val="9"/>
      <color theme="1"/>
      <name val="Arial"/>
      <family val="2"/>
    </font>
    <font>
      <b/>
      <u/>
      <sz val="10"/>
      <color rgb="FF1155CC"/>
      <name val="Arial"/>
      <family val="2"/>
    </font>
    <font>
      <b/>
      <u/>
      <sz val="10"/>
      <color rgb="FF000000"/>
      <name val="Arial"/>
      <family val="2"/>
    </font>
    <font>
      <b/>
      <sz val="10"/>
      <color theme="1"/>
      <name val="Courier New"/>
      <family val="1"/>
    </font>
    <font>
      <b/>
      <sz val="10"/>
      <color rgb="FFFF00FF"/>
      <name val="Roboto"/>
    </font>
    <font>
      <b/>
      <u/>
      <sz val="10"/>
      <color rgb="FF000000"/>
      <name val="Arial"/>
      <family val="2"/>
    </font>
    <font>
      <b/>
      <sz val="9"/>
      <color rgb="FF000000"/>
      <name val="Arial"/>
      <family val="2"/>
    </font>
    <font>
      <b/>
      <sz val="10"/>
      <color rgb="FF000000"/>
      <name val="Garamond"/>
      <family val="1"/>
    </font>
    <font>
      <b/>
      <strike/>
      <sz val="10"/>
      <color rgb="FF000000"/>
      <name val="Comic Sans MS"/>
      <family val="4"/>
    </font>
    <font>
      <b/>
      <u/>
      <sz val="10"/>
      <color rgb="FF0000FF"/>
      <name val="Arial"/>
      <family val="2"/>
    </font>
    <font>
      <b/>
      <u/>
      <sz val="9"/>
      <color rgb="FF0000FF"/>
      <name val="Arial"/>
      <family val="2"/>
    </font>
    <font>
      <b/>
      <u/>
      <sz val="10"/>
      <color rgb="FF0000FF"/>
      <name val="Arial"/>
      <family val="2"/>
    </font>
    <font>
      <b/>
      <u/>
      <sz val="10"/>
      <color rgb="FF0000FF"/>
      <name val="Arial"/>
      <family val="2"/>
    </font>
    <font>
      <sz val="13"/>
      <color rgb="FFFF00FF"/>
      <name val="Arial"/>
      <family val="2"/>
    </font>
    <font>
      <b/>
      <u/>
      <sz val="10"/>
      <color rgb="FF000000"/>
      <name val="Arial"/>
      <family val="2"/>
    </font>
    <font>
      <b/>
      <u/>
      <sz val="10"/>
      <color rgb="FF1155CC"/>
      <name val="Roboto"/>
    </font>
    <font>
      <b/>
      <sz val="10"/>
      <color rgb="FF000000"/>
      <name val="Times New Roman"/>
      <family val="1"/>
    </font>
    <font>
      <b/>
      <u/>
      <sz val="10"/>
      <color rgb="FFFF00FF"/>
      <name val="Arial"/>
      <family val="2"/>
    </font>
    <font>
      <b/>
      <u/>
      <sz val="9"/>
      <color theme="1"/>
      <name val="Arial"/>
      <family val="2"/>
    </font>
    <font>
      <b/>
      <u/>
      <sz val="10"/>
      <color rgb="FF0000FF"/>
      <name val="Arial"/>
      <family val="2"/>
    </font>
    <font>
      <b/>
      <sz val="9"/>
      <color rgb="FFFF00FF"/>
      <name val="Arial"/>
      <family val="2"/>
    </font>
    <font>
      <b/>
      <u/>
      <sz val="10"/>
      <color rgb="FF1155CC"/>
      <name val="Arial"/>
      <family val="2"/>
    </font>
    <font>
      <b/>
      <sz val="11"/>
      <color rgb="FF000000"/>
      <name val="Arial"/>
      <family val="2"/>
    </font>
    <font>
      <b/>
      <u/>
      <sz val="10"/>
      <color rgb="FF0000FF"/>
      <name val="Arial"/>
      <family val="2"/>
    </font>
    <font>
      <b/>
      <u/>
      <sz val="10"/>
      <color theme="1"/>
      <name val="Comic Sans MS"/>
      <family val="4"/>
    </font>
    <font>
      <b/>
      <u/>
      <sz val="9"/>
      <color theme="1"/>
      <name val="Arial"/>
      <family val="2"/>
    </font>
    <font>
      <b/>
      <u/>
      <sz val="10"/>
      <color rgb="FF00000A"/>
      <name val="Roboto"/>
    </font>
    <font>
      <b/>
      <u/>
      <sz val="10"/>
      <color rgb="FF0000FF"/>
      <name val="Arial"/>
      <family val="2"/>
    </font>
    <font>
      <b/>
      <sz val="11"/>
      <color rgb="FF000000"/>
      <name val="Comic Sans MS"/>
      <family val="4"/>
    </font>
    <font>
      <b/>
      <sz val="11"/>
      <color theme="1"/>
      <name val="Comic Sans MS"/>
      <family val="4"/>
    </font>
    <font>
      <b/>
      <u/>
      <sz val="9"/>
      <color rgb="FF0000FF"/>
      <name val="Arial"/>
      <family val="2"/>
    </font>
    <font>
      <b/>
      <u/>
      <sz val="10"/>
      <color theme="1"/>
      <name val="Arial"/>
      <family val="2"/>
    </font>
    <font>
      <b/>
      <sz val="11"/>
      <color rgb="FF000000"/>
      <name val="Calibri"/>
      <family val="2"/>
    </font>
    <font>
      <b/>
      <u/>
      <sz val="10"/>
      <color rgb="FF0000FF"/>
      <name val="Arial"/>
      <family val="2"/>
    </font>
    <font>
      <b/>
      <sz val="10"/>
      <color theme="1"/>
      <name val="Times New Roman"/>
      <family val="1"/>
    </font>
    <font>
      <b/>
      <u/>
      <sz val="10"/>
      <color rgb="FF1155CC"/>
      <name val="Times New Roman"/>
      <family val="1"/>
    </font>
    <font>
      <b/>
      <u/>
      <sz val="10"/>
      <color theme="1"/>
      <name val="Comic Sans MS"/>
      <family val="4"/>
    </font>
    <font>
      <b/>
      <sz val="10"/>
      <color rgb="FF000000"/>
      <name val="Arial"/>
      <family val="2"/>
    </font>
    <font>
      <b/>
      <sz val="11"/>
      <color theme="1"/>
      <name val="Arial"/>
      <family val="2"/>
    </font>
    <font>
      <b/>
      <u/>
      <sz val="10"/>
      <color rgb="FF1155CC"/>
      <name val="Times New Roman"/>
      <family val="1"/>
    </font>
    <font>
      <b/>
      <u/>
      <sz val="10"/>
      <color rgb="FF000000"/>
      <name val="Times New Roman"/>
      <family val="1"/>
    </font>
    <font>
      <b/>
      <u/>
      <sz val="10"/>
      <color rgb="FF1155CC"/>
      <name val="Arial"/>
      <family val="2"/>
    </font>
    <font>
      <b/>
      <i/>
      <sz val="10"/>
      <color rgb="FF000000"/>
      <name val="Times New Roman"/>
      <family val="1"/>
    </font>
    <font>
      <b/>
      <sz val="11"/>
      <color rgb="FF000000"/>
      <name val="Courier New"/>
      <family val="1"/>
    </font>
    <font>
      <b/>
      <sz val="13"/>
      <color theme="1"/>
      <name val="Times New Roman"/>
      <family val="1"/>
    </font>
    <font>
      <b/>
      <u/>
      <sz val="10"/>
      <color rgb="FF1155CC"/>
      <name val="Garamond"/>
      <family val="1"/>
    </font>
    <font>
      <b/>
      <u/>
      <sz val="9"/>
      <color rgb="FF000000"/>
      <name val="Arial"/>
      <family val="2"/>
    </font>
    <font>
      <b/>
      <u/>
      <sz val="10"/>
      <color rgb="FF3C78D8"/>
      <name val="Arial"/>
      <family val="2"/>
    </font>
    <font>
      <b/>
      <i/>
      <sz val="10"/>
      <color theme="1"/>
      <name val="Arial"/>
      <family val="2"/>
    </font>
    <font>
      <b/>
      <sz val="10"/>
      <name val="Arial"/>
      <family val="2"/>
    </font>
    <font>
      <b/>
      <i/>
      <sz val="10"/>
      <color rgb="FF000000"/>
      <name val="Arial"/>
      <family val="2"/>
    </font>
    <font>
      <b/>
      <i/>
      <sz val="10"/>
      <name val="Arial"/>
      <family val="2"/>
    </font>
    <font>
      <b/>
      <sz val="9"/>
      <name val="Arial"/>
      <family val="2"/>
    </font>
    <font>
      <b/>
      <sz val="10"/>
      <color rgb="FF000000"/>
      <name val="&quot;Times New Roman&quot;"/>
    </font>
    <font>
      <b/>
      <sz val="10"/>
      <color rgb="FFFF00FF"/>
      <name val="&quot;Times New Roman&quot;"/>
    </font>
    <font>
      <b/>
      <sz val="10"/>
      <color rgb="FF9900FF"/>
      <name val="&quot;Times New Roman&quot;"/>
    </font>
    <font>
      <b/>
      <sz val="10"/>
      <color rgb="FF000000"/>
      <name val="&quot;Times New Roman&quot;, serif"/>
    </font>
    <font>
      <u/>
      <sz val="10"/>
      <color theme="10"/>
      <name val="Arial"/>
      <family val="2"/>
      <scheme val="minor"/>
    </font>
    <font>
      <sz val="10"/>
      <color rgb="FF000000"/>
      <name val="Arial"/>
      <family val="2"/>
      <scheme val="minor"/>
    </font>
    <font>
      <b/>
      <sz val="10"/>
      <color rgb="FF000000"/>
      <name val="Arial"/>
      <family val="2"/>
      <scheme val="minor"/>
    </font>
    <font>
      <b/>
      <sz val="10"/>
      <color rgb="FF000000"/>
      <name val="Comic Sans MS"/>
      <family val="4"/>
    </font>
    <font>
      <sz val="11"/>
      <color rgb="FF000000"/>
      <name val="Calibri"/>
      <family val="2"/>
    </font>
    <font>
      <b/>
      <sz val="10"/>
      <color rgb="FF000000"/>
      <name val="Times New Roman"/>
      <family val="1"/>
    </font>
    <font>
      <b/>
      <sz val="10"/>
      <color rgb="FF000000"/>
      <name val="Garamond"/>
      <family val="1"/>
    </font>
    <font>
      <sz val="8"/>
      <color theme="1"/>
      <name val="Arial"/>
      <family val="2"/>
    </font>
    <font>
      <sz val="9"/>
      <color rgb="FF000000"/>
      <name val="Arial"/>
      <family val="2"/>
      <scheme val="minor"/>
    </font>
    <font>
      <sz val="8"/>
      <color rgb="FF000000"/>
      <name val="Arial"/>
      <family val="2"/>
    </font>
    <font>
      <sz val="8"/>
      <color rgb="FF00000A"/>
      <name val="Roboto"/>
    </font>
    <font>
      <u/>
      <sz val="8"/>
      <color rgb="FF1155CC"/>
      <name val="Roboto"/>
    </font>
    <font>
      <u/>
      <sz val="8"/>
      <color rgb="FF1155CC"/>
      <name val="Arial"/>
      <family val="2"/>
    </font>
    <font>
      <sz val="8"/>
      <color rgb="FFFF00FF"/>
      <name val="Arial"/>
      <family val="2"/>
    </font>
    <font>
      <sz val="8"/>
      <color theme="7"/>
      <name val="Arial"/>
      <family val="2"/>
    </font>
    <font>
      <u/>
      <sz val="8"/>
      <color theme="1"/>
      <name val="Arial"/>
      <family val="2"/>
    </font>
    <font>
      <sz val="8"/>
      <color rgb="FF000000"/>
      <name val="Roboto"/>
    </font>
    <font>
      <sz val="8"/>
      <color rgb="FF000000"/>
      <name val="Arial"/>
      <family val="2"/>
      <scheme val="minor"/>
    </font>
    <font>
      <sz val="8"/>
      <color rgb="FF000000"/>
      <name val="Times New Roman"/>
      <family val="1"/>
    </font>
    <font>
      <sz val="9"/>
      <color theme="1"/>
      <name val="Arial (Corps)"/>
    </font>
    <font>
      <u/>
      <sz val="9"/>
      <color rgb="FF1155CC"/>
      <name val="Arial (Corps)"/>
    </font>
    <font>
      <u/>
      <sz val="9"/>
      <color rgb="FF0000FF"/>
      <name val="Arial (Corps)"/>
    </font>
    <font>
      <u/>
      <sz val="9"/>
      <color theme="1"/>
      <name val="Arial (Corps)"/>
    </font>
    <font>
      <sz val="9"/>
      <name val="Arial (Corps)"/>
    </font>
    <font>
      <sz val="9"/>
      <color rgb="FF000000"/>
      <name val="Arial (Corps)"/>
    </font>
    <font>
      <b/>
      <sz val="10"/>
      <color rgb="FFFF0000"/>
      <name val="Roboto"/>
    </font>
    <font>
      <b/>
      <sz val="10"/>
      <color rgb="FFFF0000"/>
      <name val="Times New Roman"/>
      <family val="1"/>
    </font>
    <font>
      <sz val="9"/>
      <color theme="7"/>
      <name val="Arial (Corps)"/>
    </font>
    <font>
      <sz val="9"/>
      <color theme="7"/>
      <name val="Arial"/>
      <family val="2"/>
      <scheme val="minor"/>
    </font>
    <font>
      <b/>
      <sz val="10"/>
      <color rgb="FFFF0000"/>
      <name val="Comic Sans MS"/>
      <family val="4"/>
    </font>
    <font>
      <u/>
      <sz val="9"/>
      <color rgb="FFFF0000"/>
      <name val="Arial (Corps)"/>
    </font>
    <font>
      <sz val="8"/>
      <color rgb="FFFF0000"/>
      <name val="Arial"/>
      <family val="2"/>
    </font>
    <font>
      <u/>
      <sz val="10"/>
      <color rgb="FFFF0000"/>
      <name val="Arial"/>
      <family val="2"/>
      <scheme val="minor"/>
    </font>
    <font>
      <b/>
      <sz val="11"/>
      <color rgb="FFFF0000"/>
      <name val="Courier New"/>
      <family val="1"/>
    </font>
    <font>
      <b/>
      <sz val="10"/>
      <color rgb="FFFF0000"/>
      <name val="Garamond"/>
      <family val="1"/>
    </font>
    <font>
      <sz val="10"/>
      <color rgb="FFFF0000"/>
      <name val="Arial"/>
      <family val="2"/>
    </font>
    <font>
      <sz val="9"/>
      <color rgb="FFFF0000"/>
      <name val="Times"/>
      <family val="1"/>
    </font>
    <font>
      <sz val="10"/>
      <color rgb="FFFF0000"/>
      <name val="Arial"/>
      <family val="2"/>
      <scheme val="minor"/>
    </font>
    <font>
      <b/>
      <u/>
      <sz val="10"/>
      <color rgb="FFFF0000"/>
      <name val="Arial"/>
      <family val="2"/>
    </font>
    <font>
      <sz val="13.5"/>
      <color rgb="FF000000"/>
      <name val="Garamond"/>
      <family val="1"/>
    </font>
    <font>
      <sz val="18"/>
      <color rgb="FF000000"/>
      <name val="Garamond"/>
      <family val="1"/>
    </font>
    <font>
      <sz val="12"/>
      <color rgb="FF9C5700"/>
      <name val="Arial"/>
      <family val="2"/>
      <scheme val="minor"/>
    </font>
    <font>
      <sz val="9"/>
      <color rgb="FF1155CC"/>
      <name val="Arial (Corps)"/>
    </font>
    <font>
      <sz val="10"/>
      <color theme="1"/>
      <name val="Roboto"/>
    </font>
    <font>
      <sz val="10"/>
      <color rgb="FFFF0000"/>
      <name val="Roboto"/>
    </font>
    <font>
      <sz val="10"/>
      <color rgb="FF00000A"/>
      <name val="Roboto"/>
    </font>
    <font>
      <u/>
      <sz val="10"/>
      <color theme="1"/>
      <name val="Arial"/>
      <family val="2"/>
    </font>
    <font>
      <sz val="10"/>
      <color theme="1"/>
      <name val="Times New Roman"/>
      <family val="1"/>
    </font>
    <font>
      <sz val="8"/>
      <color rgb="FF000000"/>
      <name val="Times New Roman,Bold"/>
    </font>
  </fonts>
  <fills count="42">
    <fill>
      <patternFill patternType="none"/>
    </fill>
    <fill>
      <patternFill patternType="gray125"/>
    </fill>
    <fill>
      <patternFill patternType="solid">
        <fgColor rgb="FFD0E0E3"/>
        <bgColor rgb="FFD0E0E3"/>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theme="0"/>
        <bgColor theme="0"/>
      </patternFill>
    </fill>
    <fill>
      <patternFill patternType="solid">
        <fgColor rgb="FFCFE2F3"/>
        <bgColor rgb="FFCFE2F3"/>
      </patternFill>
    </fill>
    <fill>
      <patternFill patternType="solid">
        <fgColor rgb="FFA4C2F4"/>
        <bgColor rgb="FFA4C2F4"/>
      </patternFill>
    </fill>
    <fill>
      <patternFill patternType="solid">
        <fgColor rgb="FFF3F3F3"/>
        <bgColor rgb="FFF3F3F3"/>
      </patternFill>
    </fill>
    <fill>
      <patternFill patternType="solid">
        <fgColor rgb="FF9FC5E8"/>
        <bgColor rgb="FF9FC5E8"/>
      </patternFill>
    </fill>
    <fill>
      <patternFill patternType="solid">
        <fgColor rgb="FFFFFFFF"/>
        <bgColor rgb="FFFFFFFF"/>
      </patternFill>
    </fill>
    <fill>
      <patternFill patternType="solid">
        <fgColor theme="6"/>
        <bgColor theme="6"/>
      </patternFill>
    </fill>
    <fill>
      <patternFill patternType="solid">
        <fgColor rgb="FFFFFF00"/>
        <bgColor rgb="FFFFFF00"/>
      </patternFill>
    </fill>
    <fill>
      <patternFill patternType="solid">
        <fgColor rgb="FFEFEFEF"/>
        <bgColor rgb="FFEFEFEF"/>
      </patternFill>
    </fill>
    <fill>
      <patternFill patternType="solid">
        <fgColor theme="9"/>
        <bgColor indexed="64"/>
      </patternFill>
    </fill>
    <fill>
      <patternFill patternType="solid">
        <fgColor theme="6" tint="0.79998168889431442"/>
        <bgColor indexed="64"/>
      </patternFill>
    </fill>
    <fill>
      <patternFill patternType="solid">
        <fgColor theme="6" tint="0.79998168889431442"/>
        <bgColor theme="0"/>
      </patternFill>
    </fill>
    <fill>
      <patternFill patternType="solid">
        <fgColor theme="5" tint="0.79998168889431442"/>
        <bgColor theme="0"/>
      </patternFill>
    </fill>
    <fill>
      <patternFill patternType="solid">
        <fgColor theme="9"/>
        <bgColor rgb="FFFFF2CC"/>
      </patternFill>
    </fill>
    <fill>
      <patternFill patternType="solid">
        <fgColor theme="8" tint="0.79998168889431442"/>
        <bgColor indexed="64"/>
      </patternFill>
    </fill>
    <fill>
      <patternFill patternType="solid">
        <fgColor theme="8" tint="0.79998168889431442"/>
        <bgColor theme="0"/>
      </patternFill>
    </fill>
    <fill>
      <patternFill patternType="solid">
        <fgColor rgb="FFFFFF00"/>
        <bgColor indexed="64"/>
      </patternFill>
    </fill>
    <fill>
      <patternFill patternType="solid">
        <fgColor rgb="FFFFFF00"/>
        <bgColor theme="0"/>
      </patternFill>
    </fill>
    <fill>
      <patternFill patternType="solid">
        <fgColor rgb="FFFFFF00"/>
        <bgColor rgb="FFD0E0E3"/>
      </patternFill>
    </fill>
    <fill>
      <patternFill patternType="solid">
        <fgColor rgb="FFFFFF00"/>
        <bgColor rgb="FFD9EAD3"/>
      </patternFill>
    </fill>
    <fill>
      <patternFill patternType="solid">
        <fgColor rgb="FFFFFF00"/>
        <bgColor rgb="FFFFF2CC"/>
      </patternFill>
    </fill>
    <fill>
      <patternFill patternType="solid">
        <fgColor rgb="FFFFFF00"/>
        <bgColor rgb="FFC9DAF8"/>
      </patternFill>
    </fill>
    <fill>
      <patternFill patternType="solid">
        <fgColor rgb="FFFFFF00"/>
        <bgColor rgb="FFCFE2F3"/>
      </patternFill>
    </fill>
    <fill>
      <patternFill patternType="solid">
        <fgColor rgb="FFFFFF00"/>
        <bgColor rgb="FFA4C2F4"/>
      </patternFill>
    </fill>
    <fill>
      <patternFill patternType="solid">
        <fgColor rgb="FFFFFF00"/>
        <bgColor rgb="FFF3F3F3"/>
      </patternFill>
    </fill>
    <fill>
      <patternFill patternType="solid">
        <fgColor rgb="FFFFFF00"/>
        <bgColor rgb="FF9FC5E8"/>
      </patternFill>
    </fill>
    <fill>
      <patternFill patternType="solid">
        <fgColor rgb="FFFFFF00"/>
        <bgColor rgb="FFFFFFFF"/>
      </patternFill>
    </fill>
    <fill>
      <patternFill patternType="solid">
        <fgColor theme="9"/>
        <bgColor theme="0"/>
      </patternFill>
    </fill>
    <fill>
      <patternFill patternType="solid">
        <fgColor theme="9"/>
        <bgColor rgb="FFD0E0E3"/>
      </patternFill>
    </fill>
    <fill>
      <patternFill patternType="solid">
        <fgColor theme="9"/>
        <bgColor rgb="FFD9EAD3"/>
      </patternFill>
    </fill>
    <fill>
      <patternFill patternType="solid">
        <fgColor theme="9"/>
        <bgColor rgb="FFC9DAF8"/>
      </patternFill>
    </fill>
    <fill>
      <patternFill patternType="solid">
        <fgColor theme="9"/>
        <bgColor rgb="FFCFE2F3"/>
      </patternFill>
    </fill>
    <fill>
      <patternFill patternType="solid">
        <fgColor theme="9"/>
        <bgColor rgb="FFA4C2F4"/>
      </patternFill>
    </fill>
    <fill>
      <patternFill patternType="solid">
        <fgColor theme="9"/>
        <bgColor rgb="FFF3F3F3"/>
      </patternFill>
    </fill>
    <fill>
      <patternFill patternType="solid">
        <fgColor theme="9"/>
        <bgColor rgb="FF9FC5E8"/>
      </patternFill>
    </fill>
    <fill>
      <patternFill patternType="solid">
        <fgColor rgb="FFFFEB9C"/>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indexed="64"/>
      </bottom>
      <diagonal/>
    </border>
  </borders>
  <cellStyleXfs count="3">
    <xf numFmtId="0" fontId="0" fillId="0" borderId="0"/>
    <xf numFmtId="0" fontId="104" fillId="0" borderId="0" applyNumberFormat="0" applyFill="0" applyBorder="0" applyAlignment="0" applyProtection="0"/>
    <xf numFmtId="0" fontId="145" fillId="41" borderId="0" applyNumberFormat="0" applyBorder="0" applyAlignment="0" applyProtection="0"/>
  </cellStyleXfs>
  <cellXfs count="488">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8" fillId="0" borderId="1" xfId="0" applyFont="1" applyBorder="1" applyAlignment="1">
      <alignment vertical="top" wrapText="1"/>
    </xf>
    <xf numFmtId="0" fontId="9" fillId="6" borderId="1" xfId="0" applyFont="1" applyFill="1" applyBorder="1" applyAlignment="1">
      <alignment vertical="top" wrapText="1"/>
    </xf>
    <xf numFmtId="0" fontId="10" fillId="0" borderId="1" xfId="0" applyFont="1" applyBorder="1" applyAlignment="1">
      <alignment vertical="top" wrapText="1"/>
    </xf>
    <xf numFmtId="0" fontId="8" fillId="0" borderId="1" xfId="0" applyFont="1" applyBorder="1" applyAlignment="1">
      <alignment horizontal="left" vertical="top" wrapText="1"/>
    </xf>
    <xf numFmtId="0" fontId="8" fillId="2" borderId="1" xfId="0" applyFont="1" applyFill="1" applyBorder="1" applyAlignment="1">
      <alignment horizontal="left" vertical="top" wrapText="1"/>
    </xf>
    <xf numFmtId="0" fontId="11" fillId="6"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4" fillId="6" borderId="1" xfId="0" applyFont="1" applyFill="1" applyBorder="1" applyAlignment="1">
      <alignment vertical="top" wrapText="1"/>
    </xf>
    <xf numFmtId="0" fontId="5" fillId="3" borderId="1" xfId="0" applyFont="1" applyFill="1" applyBorder="1" applyAlignment="1">
      <alignment vertical="top" wrapText="1"/>
    </xf>
    <xf numFmtId="0" fontId="2" fillId="6"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13" fillId="6" borderId="1" xfId="0" applyFont="1" applyFill="1" applyBorder="1"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4" fillId="9" borderId="1" xfId="0" applyFont="1" applyFill="1" applyBorder="1" applyAlignment="1">
      <alignment vertical="top" wrapText="1"/>
    </xf>
    <xf numFmtId="0" fontId="14" fillId="10" borderId="1" xfId="0" applyFont="1" applyFill="1" applyBorder="1" applyAlignment="1">
      <alignment vertical="top" wrapText="1"/>
    </xf>
    <xf numFmtId="0" fontId="4" fillId="0" borderId="1" xfId="0" applyFont="1" applyBorder="1" applyAlignment="1">
      <alignment vertical="top" wrapText="1"/>
    </xf>
    <xf numFmtId="0" fontId="9" fillId="0" borderId="1" xfId="0" applyFont="1" applyBorder="1" applyAlignment="1">
      <alignment vertical="top" wrapText="1"/>
    </xf>
    <xf numFmtId="0" fontId="15" fillId="0" borderId="1" xfId="0" applyFont="1" applyBorder="1" applyAlignment="1">
      <alignment horizontal="left" vertical="top" wrapText="1"/>
    </xf>
    <xf numFmtId="0" fontId="16" fillId="3" borderId="1" xfId="0" applyFont="1" applyFill="1" applyBorder="1" applyAlignment="1">
      <alignment vertical="top" wrapText="1"/>
    </xf>
    <xf numFmtId="0" fontId="2" fillId="0" borderId="1" xfId="0" applyFont="1" applyBorder="1" applyAlignment="1">
      <alignment horizontal="left" vertical="top" wrapText="1"/>
    </xf>
    <xf numFmtId="0" fontId="12" fillId="0" borderId="1" xfId="0" applyFont="1" applyBorder="1" applyAlignment="1">
      <alignment horizontal="left" vertical="top" wrapText="1"/>
    </xf>
    <xf numFmtId="0" fontId="7" fillId="0" borderId="1" xfId="0" applyFont="1" applyBorder="1" applyAlignment="1">
      <alignment horizontal="left" vertical="top" wrapText="1"/>
    </xf>
    <xf numFmtId="0" fontId="4" fillId="0" borderId="0" xfId="0" applyFont="1" applyAlignment="1">
      <alignment vertical="top" wrapText="1"/>
    </xf>
    <xf numFmtId="0" fontId="13" fillId="0" borderId="1" xfId="0" applyFont="1" applyBorder="1" applyAlignment="1">
      <alignment vertical="top" wrapText="1"/>
    </xf>
    <xf numFmtId="0" fontId="4" fillId="10" borderId="1" xfId="0" applyFont="1" applyFill="1" applyBorder="1" applyAlignment="1">
      <alignment vertical="top" wrapText="1"/>
    </xf>
    <xf numFmtId="0" fontId="4" fillId="4" borderId="1" xfId="0" applyFont="1" applyFill="1" applyBorder="1" applyAlignment="1">
      <alignment vertical="top" wrapText="1"/>
    </xf>
    <xf numFmtId="0" fontId="9" fillId="0" borderId="1" xfId="0" applyFont="1" applyBorder="1" applyAlignment="1">
      <alignment horizontal="left" vertical="top" wrapText="1"/>
    </xf>
    <xf numFmtId="0" fontId="17" fillId="6" borderId="1" xfId="0" applyFont="1" applyFill="1" applyBorder="1" applyAlignment="1">
      <alignment vertical="top" wrapText="1"/>
    </xf>
    <xf numFmtId="0" fontId="18" fillId="7" borderId="1" xfId="0" applyFont="1" applyFill="1" applyBorder="1" applyAlignment="1">
      <alignment vertical="top" wrapText="1"/>
    </xf>
    <xf numFmtId="0" fontId="19" fillId="10" borderId="1" xfId="0" applyFont="1" applyFill="1" applyBorder="1" applyAlignment="1">
      <alignment vertical="top" wrapText="1"/>
    </xf>
    <xf numFmtId="0" fontId="20" fillId="0" borderId="1" xfId="0" applyFont="1" applyBorder="1" applyAlignment="1">
      <alignment vertical="top" wrapText="1"/>
    </xf>
    <xf numFmtId="0" fontId="3" fillId="0" borderId="1" xfId="0" applyFont="1" applyBorder="1" applyAlignment="1">
      <alignment vertical="top" wrapText="1"/>
    </xf>
    <xf numFmtId="0" fontId="21" fillId="6" borderId="2" xfId="0" applyFont="1" applyFill="1" applyBorder="1" applyAlignment="1">
      <alignment wrapText="1"/>
    </xf>
    <xf numFmtId="0" fontId="22" fillId="7" borderId="1" xfId="0" applyFont="1" applyFill="1" applyBorder="1" applyAlignment="1">
      <alignment vertical="top" wrapText="1"/>
    </xf>
    <xf numFmtId="0" fontId="8" fillId="6" borderId="1" xfId="0" applyFont="1" applyFill="1" applyBorder="1" applyAlignment="1">
      <alignment vertical="top" wrapText="1"/>
    </xf>
    <xf numFmtId="0" fontId="3" fillId="2" borderId="1" xfId="0" applyFont="1" applyFill="1" applyBorder="1" applyAlignment="1">
      <alignment vertical="top" wrapText="1"/>
    </xf>
    <xf numFmtId="0" fontId="9" fillId="11" borderId="1" xfId="0" applyFont="1" applyFill="1" applyBorder="1" applyAlignment="1">
      <alignment horizontal="left" vertical="top" wrapText="1"/>
    </xf>
    <xf numFmtId="0" fontId="6"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12" fillId="4" borderId="1" xfId="0" applyFont="1" applyFill="1" applyBorder="1" applyAlignment="1">
      <alignment horizontal="left" vertical="top" wrapText="1"/>
    </xf>
    <xf numFmtId="0" fontId="4" fillId="2" borderId="1" xfId="0" applyFont="1" applyFill="1" applyBorder="1" applyAlignment="1">
      <alignment vertical="top" wrapText="1"/>
    </xf>
    <xf numFmtId="0" fontId="6" fillId="4" borderId="2" xfId="0" applyFont="1" applyFill="1" applyBorder="1" applyAlignment="1">
      <alignment vertical="top" wrapText="1"/>
    </xf>
    <xf numFmtId="0" fontId="24" fillId="8" borderId="1" xfId="0" applyFont="1" applyFill="1" applyBorder="1" applyAlignment="1">
      <alignment vertical="top" wrapText="1"/>
    </xf>
    <xf numFmtId="0" fontId="24" fillId="9" borderId="1" xfId="0" applyFont="1" applyFill="1" applyBorder="1" applyAlignment="1">
      <alignment vertical="top" wrapText="1"/>
    </xf>
    <xf numFmtId="0" fontId="12" fillId="0" borderId="1" xfId="0" applyFont="1" applyBorder="1" applyAlignment="1">
      <alignment vertical="top" wrapText="1"/>
    </xf>
    <xf numFmtId="0" fontId="12" fillId="4" borderId="1" xfId="0" applyFont="1" applyFill="1" applyBorder="1" applyAlignment="1">
      <alignment vertical="top" wrapText="1"/>
    </xf>
    <xf numFmtId="0" fontId="12" fillId="5" borderId="1" xfId="0" applyFont="1" applyFill="1" applyBorder="1" applyAlignment="1">
      <alignment vertical="top" wrapText="1"/>
    </xf>
    <xf numFmtId="0" fontId="7" fillId="6" borderId="1" xfId="0" applyFont="1" applyFill="1" applyBorder="1" applyAlignment="1">
      <alignment horizontal="left" vertical="top" wrapText="1"/>
    </xf>
    <xf numFmtId="0" fontId="24" fillId="0" borderId="1" xfId="0" applyFont="1" applyBorder="1" applyAlignment="1">
      <alignment vertical="top" wrapText="1"/>
    </xf>
    <xf numFmtId="0" fontId="24" fillId="2" borderId="1" xfId="0" applyFont="1" applyFill="1" applyBorder="1" applyAlignment="1">
      <alignment vertical="top" wrapText="1"/>
    </xf>
    <xf numFmtId="0" fontId="25" fillId="3" borderId="1" xfId="0" applyFont="1" applyFill="1" applyBorder="1" applyAlignment="1">
      <alignment vertical="top" wrapText="1"/>
    </xf>
    <xf numFmtId="0" fontId="4" fillId="12" borderId="1" xfId="0" applyFont="1" applyFill="1" applyBorder="1" applyAlignment="1">
      <alignment vertical="top" wrapText="1"/>
    </xf>
    <xf numFmtId="0" fontId="7" fillId="4" borderId="2" xfId="0" applyFont="1" applyFill="1" applyBorder="1" applyAlignment="1">
      <alignment vertical="top" wrapText="1"/>
    </xf>
    <xf numFmtId="0" fontId="6" fillId="5" borderId="2" xfId="0" applyFont="1" applyFill="1" applyBorder="1" applyAlignment="1">
      <alignment vertical="top" wrapText="1"/>
    </xf>
    <xf numFmtId="0" fontId="4" fillId="8" borderId="2" xfId="0" applyFont="1" applyFill="1" applyBorder="1" applyAlignment="1">
      <alignment vertical="top" wrapText="1"/>
    </xf>
    <xf numFmtId="0" fontId="6" fillId="0" borderId="1" xfId="0" applyFont="1" applyBorder="1" applyAlignment="1">
      <alignment vertical="top" wrapText="1"/>
    </xf>
    <xf numFmtId="0" fontId="6" fillId="4" borderId="1" xfId="0" applyFont="1" applyFill="1" applyBorder="1" applyAlignment="1">
      <alignment vertical="top" wrapText="1"/>
    </xf>
    <xf numFmtId="0" fontId="6" fillId="5" borderId="1" xfId="0" applyFont="1" applyFill="1" applyBorder="1" applyAlignment="1">
      <alignment vertical="top" wrapText="1"/>
    </xf>
    <xf numFmtId="0" fontId="5"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26" fillId="6" borderId="1" xfId="0" applyFont="1" applyFill="1" applyBorder="1" applyAlignment="1">
      <alignment horizontal="left" vertical="top" wrapText="1"/>
    </xf>
    <xf numFmtId="0" fontId="26" fillId="7"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5" fillId="3" borderId="2" xfId="0" applyFont="1" applyFill="1" applyBorder="1" applyAlignment="1">
      <alignment vertical="top" wrapText="1"/>
    </xf>
    <xf numFmtId="0" fontId="7" fillId="11" borderId="1" xfId="0" applyFont="1" applyFill="1" applyBorder="1" applyAlignment="1">
      <alignment horizontal="left" vertical="top" wrapText="1"/>
    </xf>
    <xf numFmtId="0" fontId="28" fillId="6" borderId="1" xfId="0" applyFont="1" applyFill="1" applyBorder="1" applyAlignment="1">
      <alignment vertical="top" wrapText="1"/>
    </xf>
    <xf numFmtId="0" fontId="29" fillId="7" borderId="1" xfId="0" applyFont="1" applyFill="1" applyBorder="1" applyAlignment="1">
      <alignment vertical="top" wrapText="1"/>
    </xf>
    <xf numFmtId="0" fontId="30" fillId="8" borderId="1" xfId="0" applyFont="1" applyFill="1" applyBorder="1" applyAlignment="1">
      <alignment vertical="top" wrapText="1"/>
    </xf>
    <xf numFmtId="0" fontId="4" fillId="11" borderId="1" xfId="0" applyFont="1" applyFill="1" applyBorder="1" applyAlignment="1">
      <alignment vertical="top" wrapText="1"/>
    </xf>
    <xf numFmtId="0" fontId="31" fillId="6" borderId="1" xfId="0" applyFont="1" applyFill="1" applyBorder="1" applyAlignment="1">
      <alignment vertical="top" wrapText="1"/>
    </xf>
    <xf numFmtId="0" fontId="7" fillId="0" borderId="1" xfId="0" applyFont="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35" fillId="0" borderId="1" xfId="0" applyFont="1" applyBorder="1" applyAlignment="1">
      <alignment vertical="top" wrapText="1"/>
    </xf>
    <xf numFmtId="0" fontId="36" fillId="3" borderId="1" xfId="0" applyFont="1" applyFill="1" applyBorder="1" applyAlignment="1">
      <alignment vertical="top" wrapText="1"/>
    </xf>
    <xf numFmtId="0" fontId="16" fillId="0" borderId="0" xfId="0" applyFont="1" applyAlignment="1">
      <alignment vertical="top" wrapText="1"/>
    </xf>
    <xf numFmtId="0" fontId="2" fillId="0" borderId="1" xfId="0" applyFont="1" applyBorder="1" applyAlignment="1">
      <alignment vertical="top" wrapText="1"/>
    </xf>
    <xf numFmtId="0" fontId="21" fillId="6" borderId="2" xfId="0" applyFont="1" applyFill="1" applyBorder="1"/>
    <xf numFmtId="0" fontId="4" fillId="6" borderId="1" xfId="0" applyFont="1" applyFill="1" applyBorder="1" applyAlignment="1">
      <alignment horizontal="left" vertical="top" wrapText="1"/>
    </xf>
    <xf numFmtId="0" fontId="16" fillId="3" borderId="2" xfId="0" applyFont="1" applyFill="1" applyBorder="1" applyAlignment="1">
      <alignment vertical="top" wrapText="1"/>
    </xf>
    <xf numFmtId="0" fontId="16" fillId="0" borderId="1" xfId="0" applyFont="1" applyBorder="1" applyAlignment="1">
      <alignment vertical="top" wrapText="1"/>
    </xf>
    <xf numFmtId="0" fontId="40" fillId="3" borderId="2" xfId="0" applyFont="1" applyFill="1" applyBorder="1" applyAlignment="1">
      <alignment vertical="top" wrapText="1"/>
    </xf>
    <xf numFmtId="0" fontId="16" fillId="0" borderId="1" xfId="0" applyFont="1" applyBorder="1"/>
    <xf numFmtId="0" fontId="4" fillId="9" borderId="2" xfId="0" applyFont="1" applyFill="1" applyBorder="1" applyAlignment="1">
      <alignment vertical="top" wrapText="1"/>
    </xf>
    <xf numFmtId="0" fontId="30" fillId="3" borderId="2" xfId="0" applyFont="1" applyFill="1" applyBorder="1" applyAlignment="1">
      <alignment vertical="top" wrapText="1"/>
    </xf>
    <xf numFmtId="0" fontId="4" fillId="6" borderId="2" xfId="0" applyFont="1" applyFill="1" applyBorder="1" applyAlignment="1">
      <alignment vertical="top" wrapText="1"/>
    </xf>
    <xf numFmtId="0" fontId="4" fillId="7" borderId="2" xfId="0" applyFont="1" applyFill="1" applyBorder="1" applyAlignment="1">
      <alignment vertical="top" wrapText="1"/>
    </xf>
    <xf numFmtId="0" fontId="4" fillId="13" borderId="1" xfId="0" applyFont="1" applyFill="1" applyBorder="1" applyAlignment="1">
      <alignment vertical="top" wrapText="1"/>
    </xf>
    <xf numFmtId="0" fontId="30" fillId="3" borderId="1" xfId="0" applyFont="1" applyFill="1" applyBorder="1" applyAlignment="1">
      <alignment vertical="top" wrapText="1"/>
    </xf>
    <xf numFmtId="0" fontId="4" fillId="10" borderId="2" xfId="0" applyFont="1" applyFill="1" applyBorder="1" applyAlignment="1">
      <alignment vertical="top" wrapText="1"/>
    </xf>
    <xf numFmtId="0" fontId="2" fillId="6" borderId="1" xfId="0" applyFont="1" applyFill="1" applyBorder="1" applyAlignment="1">
      <alignment vertical="top" wrapText="1"/>
    </xf>
    <xf numFmtId="0" fontId="16" fillId="8" borderId="1" xfId="0" applyFont="1" applyFill="1" applyBorder="1" applyAlignment="1">
      <alignment vertical="top" wrapText="1"/>
    </xf>
    <xf numFmtId="0" fontId="3" fillId="8" borderId="1" xfId="0" applyFont="1" applyFill="1" applyBorder="1" applyAlignment="1">
      <alignment vertical="top" wrapText="1"/>
    </xf>
    <xf numFmtId="0" fontId="6" fillId="4" borderId="2" xfId="0" applyFont="1" applyFill="1" applyBorder="1" applyAlignment="1">
      <alignment horizontal="left" vertical="top" wrapText="1"/>
    </xf>
    <xf numFmtId="0" fontId="46" fillId="0" borderId="1" xfId="0" applyFont="1" applyBorder="1" applyAlignment="1">
      <alignment horizontal="left" vertical="top" wrapText="1"/>
    </xf>
    <xf numFmtId="0" fontId="45" fillId="4" borderId="1" xfId="0" applyFont="1" applyFill="1" applyBorder="1" applyAlignment="1">
      <alignment vertical="top" wrapText="1"/>
    </xf>
    <xf numFmtId="0" fontId="21" fillId="6" borderId="1" xfId="0" applyFont="1" applyFill="1" applyBorder="1"/>
    <xf numFmtId="1" fontId="30" fillId="3" borderId="1" xfId="0" applyNumberFormat="1" applyFont="1" applyFill="1" applyBorder="1" applyAlignment="1">
      <alignment vertical="top" wrapText="1"/>
    </xf>
    <xf numFmtId="0" fontId="47" fillId="3" borderId="1" xfId="0" applyFont="1" applyFill="1" applyBorder="1" applyAlignment="1">
      <alignment vertical="top" wrapText="1"/>
    </xf>
    <xf numFmtId="0" fontId="48" fillId="8"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6" fillId="5" borderId="2" xfId="0" applyFont="1" applyFill="1" applyBorder="1" applyAlignment="1">
      <alignment horizontal="left" vertical="top" wrapText="1"/>
    </xf>
    <xf numFmtId="0" fontId="49" fillId="7" borderId="1" xfId="0" applyFont="1" applyFill="1" applyBorder="1" applyAlignment="1">
      <alignment vertical="top" wrapText="1"/>
    </xf>
    <xf numFmtId="0" fontId="50" fillId="6" borderId="1" xfId="0" applyFont="1" applyFill="1" applyBorder="1" applyAlignment="1">
      <alignment vertical="top" wrapText="1"/>
    </xf>
    <xf numFmtId="0" fontId="7" fillId="4" borderId="2" xfId="0" applyFont="1" applyFill="1" applyBorder="1" applyAlignment="1">
      <alignment horizontal="left" vertical="top" wrapText="1"/>
    </xf>
    <xf numFmtId="0" fontId="9" fillId="6" borderId="1" xfId="0" applyFont="1" applyFill="1" applyBorder="1" applyAlignment="1">
      <alignment horizontal="left" vertical="top" wrapText="1"/>
    </xf>
    <xf numFmtId="0" fontId="9" fillId="11" borderId="2" xfId="0" applyFont="1" applyFill="1" applyBorder="1" applyAlignment="1">
      <alignment horizontal="left" vertical="top" wrapText="1"/>
    </xf>
    <xf numFmtId="0" fontId="4" fillId="5" borderId="1" xfId="0" applyFont="1" applyFill="1" applyBorder="1" applyAlignment="1">
      <alignment vertical="top" wrapText="1"/>
    </xf>
    <xf numFmtId="0" fontId="3" fillId="8" borderId="2" xfId="0" applyFont="1" applyFill="1" applyBorder="1" applyAlignment="1">
      <alignment vertical="top" wrapText="1"/>
    </xf>
    <xf numFmtId="0" fontId="51" fillId="0" borderId="1" xfId="0" applyFont="1" applyBorder="1" applyAlignment="1">
      <alignment vertical="top" wrapText="1"/>
    </xf>
    <xf numFmtId="0" fontId="52" fillId="8" borderId="1" xfId="0" applyFont="1" applyFill="1" applyBorder="1" applyAlignment="1">
      <alignment vertical="top" wrapText="1"/>
    </xf>
    <xf numFmtId="0" fontId="7" fillId="6" borderId="1" xfId="0" applyFont="1" applyFill="1" applyBorder="1" applyAlignment="1">
      <alignment vertical="top" wrapText="1"/>
    </xf>
    <xf numFmtId="0" fontId="6" fillId="0" borderId="1" xfId="0" applyFont="1" applyBorder="1"/>
    <xf numFmtId="0" fontId="7" fillId="5" borderId="2" xfId="0" applyFont="1" applyFill="1" applyBorder="1" applyAlignment="1">
      <alignment horizontal="left" vertical="top" wrapText="1"/>
    </xf>
    <xf numFmtId="0" fontId="6" fillId="6" borderId="1" xfId="0" applyFont="1" applyFill="1" applyBorder="1" applyAlignment="1">
      <alignment horizontal="left" vertical="top" wrapText="1"/>
    </xf>
    <xf numFmtId="0" fontId="54" fillId="0" borderId="1" xfId="0" applyFont="1" applyBorder="1" applyAlignment="1">
      <alignment horizontal="left" vertical="top" wrapText="1"/>
    </xf>
    <xf numFmtId="0" fontId="4" fillId="2" borderId="2" xfId="0" applyFont="1" applyFill="1" applyBorder="1" applyAlignment="1">
      <alignment vertical="top" wrapText="1"/>
    </xf>
    <xf numFmtId="0" fontId="55" fillId="5" borderId="1" xfId="0" applyFont="1" applyFill="1" applyBorder="1" applyAlignment="1">
      <alignment horizontal="left" vertical="top" wrapText="1"/>
    </xf>
    <xf numFmtId="0" fontId="36" fillId="3" borderId="2" xfId="0" applyFont="1" applyFill="1" applyBorder="1" applyAlignment="1">
      <alignment vertical="top" wrapText="1"/>
    </xf>
    <xf numFmtId="0" fontId="56" fillId="8" borderId="1" xfId="0" applyFont="1" applyFill="1" applyBorder="1" applyAlignment="1">
      <alignment vertical="top" wrapText="1"/>
    </xf>
    <xf numFmtId="0" fontId="57" fillId="7" borderId="1" xfId="0" applyFont="1" applyFill="1" applyBorder="1" applyAlignment="1">
      <alignment vertical="top" wrapText="1"/>
    </xf>
    <xf numFmtId="0" fontId="6" fillId="6" borderId="1" xfId="0" applyFont="1" applyFill="1" applyBorder="1" applyAlignment="1">
      <alignment vertical="top" wrapText="1"/>
    </xf>
    <xf numFmtId="0" fontId="46" fillId="6" borderId="2" xfId="0" applyFont="1" applyFill="1" applyBorder="1" applyAlignment="1">
      <alignment horizontal="left" vertical="top" wrapText="1"/>
    </xf>
    <xf numFmtId="0" fontId="58" fillId="7" borderId="1" xfId="0" applyFont="1" applyFill="1" applyBorder="1" applyAlignment="1">
      <alignment vertical="top" wrapText="1"/>
    </xf>
    <xf numFmtId="0" fontId="59" fillId="6" borderId="1" xfId="0" applyFont="1" applyFill="1" applyBorder="1" applyAlignment="1">
      <alignment vertical="top" wrapText="1"/>
    </xf>
    <xf numFmtId="0" fontId="60" fillId="0" borderId="1" xfId="0" applyFont="1" applyBorder="1" applyAlignment="1">
      <alignment vertical="top" wrapText="1"/>
    </xf>
    <xf numFmtId="0" fontId="61" fillId="10" borderId="1" xfId="0" applyFont="1" applyFill="1" applyBorder="1" applyAlignment="1">
      <alignment vertical="top" wrapText="1"/>
    </xf>
    <xf numFmtId="0" fontId="16" fillId="3" borderId="1" xfId="0" applyFont="1" applyFill="1" applyBorder="1" applyAlignment="1">
      <alignment vertical="top"/>
    </xf>
    <xf numFmtId="0" fontId="46" fillId="6" borderId="1" xfId="0" applyFont="1" applyFill="1" applyBorder="1" applyAlignment="1">
      <alignment horizontal="left" vertical="top" wrapText="1"/>
    </xf>
    <xf numFmtId="0" fontId="8" fillId="2" borderId="1" xfId="0" applyFont="1" applyFill="1" applyBorder="1" applyAlignment="1">
      <alignment vertical="top" wrapText="1"/>
    </xf>
    <xf numFmtId="0" fontId="2" fillId="2" borderId="1" xfId="0" applyFont="1" applyFill="1" applyBorder="1" applyAlignment="1">
      <alignment vertical="top" wrapText="1"/>
    </xf>
    <xf numFmtId="0" fontId="62" fillId="6" borderId="1" xfId="0" applyFont="1" applyFill="1" applyBorder="1" applyAlignment="1">
      <alignment vertical="top" wrapText="1"/>
    </xf>
    <xf numFmtId="0" fontId="63" fillId="6" borderId="1" xfId="0" applyFont="1" applyFill="1" applyBorder="1" applyAlignment="1">
      <alignment vertical="top" wrapText="1"/>
    </xf>
    <xf numFmtId="0" fontId="4" fillId="4" borderId="1" xfId="0" applyFont="1" applyFill="1" applyBorder="1"/>
    <xf numFmtId="0" fontId="2" fillId="11" borderId="1" xfId="0" applyFont="1" applyFill="1" applyBorder="1" applyAlignment="1">
      <alignment horizontal="left" vertical="top" wrapText="1"/>
    </xf>
    <xf numFmtId="0" fontId="64" fillId="10" borderId="1" xfId="0" applyFont="1" applyFill="1" applyBorder="1" applyAlignment="1">
      <alignment vertical="top" wrapText="1"/>
    </xf>
    <xf numFmtId="0" fontId="24" fillId="10" borderId="1" xfId="0" applyFont="1" applyFill="1" applyBorder="1" applyAlignment="1">
      <alignment horizontal="left" vertical="top" wrapText="1"/>
    </xf>
    <xf numFmtId="0" fontId="16" fillId="6" borderId="1" xfId="0" applyFont="1" applyFill="1" applyBorder="1" applyAlignment="1">
      <alignment vertical="top" wrapText="1"/>
    </xf>
    <xf numFmtId="0" fontId="16" fillId="7" borderId="1" xfId="0" applyFont="1" applyFill="1" applyBorder="1" applyAlignment="1">
      <alignment vertical="top" wrapText="1"/>
    </xf>
    <xf numFmtId="0" fontId="24" fillId="14" borderId="1" xfId="0" applyFont="1" applyFill="1" applyBorder="1" applyAlignment="1">
      <alignment vertical="top" wrapText="1"/>
    </xf>
    <xf numFmtId="0" fontId="67" fillId="8" borderId="1" xfId="0" applyFont="1" applyFill="1" applyBorder="1" applyAlignment="1">
      <alignment vertical="top" wrapText="1"/>
    </xf>
    <xf numFmtId="0" fontId="68" fillId="10" borderId="1" xfId="0" applyFont="1" applyFill="1" applyBorder="1" applyAlignment="1">
      <alignment horizontal="left" vertical="top" wrapText="1"/>
    </xf>
    <xf numFmtId="0" fontId="3" fillId="2" borderId="1" xfId="0" applyFont="1" applyFill="1" applyBorder="1"/>
    <xf numFmtId="0" fontId="4" fillId="3" borderId="2"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16" fillId="3" borderId="1" xfId="0" applyFont="1" applyFill="1" applyBorder="1"/>
    <xf numFmtId="0" fontId="69" fillId="0" borderId="1" xfId="0" applyFont="1" applyBorder="1" applyAlignment="1">
      <alignment vertical="top" wrapText="1"/>
    </xf>
    <xf numFmtId="0" fontId="70" fillId="9" borderId="1" xfId="0" applyFont="1" applyFill="1" applyBorder="1" applyAlignment="1">
      <alignment vertical="top" wrapText="1"/>
    </xf>
    <xf numFmtId="0" fontId="30" fillId="6" borderId="1" xfId="0" applyFont="1" applyFill="1" applyBorder="1" applyAlignment="1">
      <alignment vertical="top" wrapText="1"/>
    </xf>
    <xf numFmtId="0" fontId="30" fillId="7" borderId="1" xfId="0" applyFont="1" applyFill="1" applyBorder="1" applyAlignment="1">
      <alignment vertical="top" wrapText="1"/>
    </xf>
    <xf numFmtId="0" fontId="71" fillId="4" borderId="1" xfId="0" applyFont="1" applyFill="1" applyBorder="1" applyAlignment="1">
      <alignment horizontal="left" vertical="top" wrapText="1"/>
    </xf>
    <xf numFmtId="0" fontId="72" fillId="4" borderId="1" xfId="0" applyFont="1" applyFill="1" applyBorder="1" applyAlignment="1">
      <alignment vertical="top" wrapText="1"/>
    </xf>
    <xf numFmtId="0" fontId="7" fillId="7"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73" fillId="0" borderId="1" xfId="0" applyFont="1" applyBorder="1" applyAlignment="1">
      <alignment horizontal="left" vertical="top" wrapText="1"/>
    </xf>
    <xf numFmtId="0" fontId="75" fillId="0" borderId="1" xfId="0" applyFont="1" applyBorder="1" applyAlignment="1">
      <alignment vertical="top" wrapText="1"/>
    </xf>
    <xf numFmtId="0" fontId="75" fillId="4" borderId="1" xfId="0" applyFont="1" applyFill="1" applyBorder="1" applyAlignment="1">
      <alignment vertical="top" wrapText="1"/>
    </xf>
    <xf numFmtId="0" fontId="76" fillId="5" borderId="1" xfId="0" applyFont="1" applyFill="1" applyBorder="1" applyAlignment="1">
      <alignment vertical="top" wrapText="1"/>
    </xf>
    <xf numFmtId="0" fontId="4" fillId="14" borderId="1" xfId="0" applyFont="1" applyFill="1" applyBorder="1" applyAlignment="1">
      <alignment vertical="top" wrapText="1"/>
    </xf>
    <xf numFmtId="0" fontId="78" fillId="10" borderId="1" xfId="0" applyFont="1" applyFill="1" applyBorder="1" applyAlignment="1">
      <alignment vertical="top" wrapText="1"/>
    </xf>
    <xf numFmtId="0" fontId="79" fillId="0" borderId="1" xfId="0" applyFont="1" applyBorder="1" applyAlignment="1">
      <alignment vertical="top" wrapText="1"/>
    </xf>
    <xf numFmtId="0" fontId="24" fillId="6" borderId="1" xfId="0" applyFont="1" applyFill="1" applyBorder="1" applyAlignment="1">
      <alignment vertical="top" wrapText="1"/>
    </xf>
    <xf numFmtId="0" fontId="24" fillId="7" borderId="1" xfId="0" applyFont="1" applyFill="1" applyBorder="1" applyAlignment="1">
      <alignment vertical="top" wrapText="1"/>
    </xf>
    <xf numFmtId="0" fontId="63" fillId="0" borderId="1" xfId="0" applyFont="1" applyBorder="1" applyAlignment="1">
      <alignment horizontal="left" vertical="top" wrapText="1"/>
    </xf>
    <xf numFmtId="0" fontId="81" fillId="0" borderId="1" xfId="0" applyFont="1" applyBorder="1" applyAlignment="1">
      <alignment horizontal="left" vertical="top" wrapText="1"/>
    </xf>
    <xf numFmtId="0" fontId="16" fillId="6" borderId="1" xfId="0" applyFont="1" applyFill="1" applyBorder="1"/>
    <xf numFmtId="0" fontId="16" fillId="7" borderId="1" xfId="0" applyFont="1" applyFill="1" applyBorder="1"/>
    <xf numFmtId="0" fontId="63" fillId="2" borderId="1" xfId="0" applyFont="1" applyFill="1" applyBorder="1" applyAlignment="1">
      <alignment horizontal="left" vertical="top" wrapText="1"/>
    </xf>
    <xf numFmtId="0" fontId="82" fillId="0" borderId="1" xfId="0" applyFont="1" applyBorder="1" applyAlignment="1">
      <alignment horizontal="left" vertical="top" wrapText="1"/>
    </xf>
    <xf numFmtId="0" fontId="81" fillId="0" borderId="1" xfId="0" applyFont="1" applyBorder="1" applyAlignment="1">
      <alignment vertical="top" wrapText="1"/>
    </xf>
    <xf numFmtId="0" fontId="46" fillId="0" borderId="1" xfId="0" applyFont="1" applyBorder="1" applyAlignment="1">
      <alignment vertical="top" wrapText="1"/>
    </xf>
    <xf numFmtId="0" fontId="81" fillId="6" borderId="1" xfId="0" applyFont="1" applyFill="1" applyBorder="1" applyAlignment="1">
      <alignment vertical="top" wrapText="1"/>
    </xf>
    <xf numFmtId="0" fontId="4" fillId="3" borderId="1" xfId="0" applyFont="1" applyFill="1" applyBorder="1" applyAlignment="1">
      <alignment vertical="top" wrapText="1"/>
    </xf>
    <xf numFmtId="0" fontId="83" fillId="4" borderId="1" xfId="0" applyFont="1" applyFill="1" applyBorder="1" applyAlignment="1">
      <alignment vertical="top" wrapText="1"/>
    </xf>
    <xf numFmtId="0" fontId="63" fillId="9" borderId="1" xfId="0" applyFont="1" applyFill="1" applyBorder="1" applyAlignment="1">
      <alignment vertical="top" wrapText="1"/>
    </xf>
    <xf numFmtId="0" fontId="85" fillId="6" borderId="1" xfId="0" applyFont="1" applyFill="1" applyBorder="1" applyAlignment="1">
      <alignment vertical="top" wrapText="1"/>
    </xf>
    <xf numFmtId="0" fontId="16" fillId="9" borderId="1" xfId="0" applyFont="1" applyFill="1" applyBorder="1" applyAlignment="1">
      <alignment vertical="top" wrapText="1"/>
    </xf>
    <xf numFmtId="0" fontId="81" fillId="9" borderId="1" xfId="0" applyFont="1" applyFill="1" applyBorder="1" applyAlignment="1">
      <alignment vertical="top" wrapText="1"/>
    </xf>
    <xf numFmtId="0" fontId="4" fillId="11" borderId="1" xfId="0" applyFont="1" applyFill="1" applyBorder="1" applyAlignment="1">
      <alignment horizontal="left" vertical="top" wrapText="1"/>
    </xf>
    <xf numFmtId="0" fontId="85" fillId="0" borderId="1" xfId="0" applyFont="1" applyBorder="1" applyAlignment="1">
      <alignment vertical="top" wrapText="1"/>
    </xf>
    <xf numFmtId="0" fontId="16" fillId="3" borderId="2" xfId="0" applyFont="1" applyFill="1" applyBorder="1"/>
    <xf numFmtId="0" fontId="54" fillId="6" borderId="1" xfId="0" applyFont="1" applyFill="1" applyBorder="1" applyAlignment="1">
      <alignment vertical="top" wrapText="1"/>
    </xf>
    <xf numFmtId="0" fontId="63" fillId="0" borderId="1" xfId="0" applyFont="1" applyBorder="1" applyAlignment="1">
      <alignment vertical="top" wrapText="1"/>
    </xf>
    <xf numFmtId="0" fontId="54" fillId="0" borderId="1" xfId="0" applyFont="1" applyBorder="1" applyAlignment="1">
      <alignment vertical="top" wrapText="1"/>
    </xf>
    <xf numFmtId="0" fontId="87" fillId="0" borderId="1" xfId="0" applyFont="1" applyBorder="1" applyAlignment="1">
      <alignment horizontal="left" vertical="top" wrapText="1"/>
    </xf>
    <xf numFmtId="0" fontId="3" fillId="0" borderId="1" xfId="0" applyFont="1" applyBorder="1" applyAlignment="1">
      <alignment horizontal="left" vertical="top" wrapText="1"/>
    </xf>
    <xf numFmtId="0" fontId="33" fillId="6" borderId="1" xfId="0" applyFont="1" applyFill="1" applyBorder="1" applyAlignment="1">
      <alignment vertical="top" wrapText="1"/>
    </xf>
    <xf numFmtId="0" fontId="33" fillId="9" borderId="1" xfId="0" applyFont="1" applyFill="1" applyBorder="1" applyAlignment="1">
      <alignment vertical="top" wrapText="1"/>
    </xf>
    <xf numFmtId="0" fontId="54" fillId="6" borderId="1" xfId="0" applyFont="1" applyFill="1" applyBorder="1" applyAlignment="1">
      <alignment horizontal="left" vertical="top" wrapText="1"/>
    </xf>
    <xf numFmtId="0" fontId="45" fillId="5" borderId="1" xfId="0" applyFont="1" applyFill="1" applyBorder="1" applyAlignment="1">
      <alignment horizontal="left" vertical="top" wrapText="1"/>
    </xf>
    <xf numFmtId="0" fontId="89" fillId="9" borderId="1" xfId="0" applyFont="1" applyFill="1" applyBorder="1" applyAlignment="1">
      <alignment vertical="top" wrapText="1"/>
    </xf>
    <xf numFmtId="0" fontId="54" fillId="11" borderId="1" xfId="0" applyFont="1" applyFill="1" applyBorder="1" applyAlignment="1">
      <alignment horizontal="left" vertical="top" wrapText="1"/>
    </xf>
    <xf numFmtId="0" fontId="45" fillId="4" borderId="1" xfId="0" applyFont="1" applyFill="1" applyBorder="1" applyAlignment="1">
      <alignment horizontal="left" vertical="top" wrapText="1"/>
    </xf>
    <xf numFmtId="0" fontId="91" fillId="0" borderId="1" xfId="0" applyFont="1" applyBorder="1" applyAlignment="1">
      <alignment vertical="top" wrapText="1"/>
    </xf>
    <xf numFmtId="0" fontId="92" fillId="10" borderId="1" xfId="0" applyFont="1" applyFill="1" applyBorder="1" applyAlignment="1">
      <alignment horizontal="left" vertical="top" wrapText="1"/>
    </xf>
    <xf numFmtId="0" fontId="54" fillId="10"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93" fillId="7" borderId="1" xfId="0" applyFont="1" applyFill="1" applyBorder="1" applyAlignment="1">
      <alignment vertical="top" wrapText="1"/>
    </xf>
    <xf numFmtId="0" fontId="94" fillId="0" borderId="1" xfId="0" applyFont="1" applyBorder="1" applyAlignment="1">
      <alignment vertical="top" wrapText="1"/>
    </xf>
    <xf numFmtId="0" fontId="16" fillId="2" borderId="1" xfId="0" applyFont="1" applyFill="1" applyBorder="1" applyAlignment="1">
      <alignment vertical="top" wrapText="1"/>
    </xf>
    <xf numFmtId="0" fontId="42" fillId="0" borderId="1" xfId="0" applyFont="1" applyBorder="1" applyAlignment="1">
      <alignment vertical="top" wrapText="1"/>
    </xf>
    <xf numFmtId="0" fontId="16" fillId="4" borderId="1" xfId="0" applyFont="1" applyFill="1" applyBorder="1" applyAlignment="1">
      <alignment vertical="top" wrapText="1"/>
    </xf>
    <xf numFmtId="0" fontId="16" fillId="5" borderId="1" xfId="0" applyFont="1" applyFill="1" applyBorder="1" applyAlignment="1">
      <alignment vertical="top" wrapText="1"/>
    </xf>
    <xf numFmtId="0" fontId="16" fillId="10" borderId="1" xfId="0" applyFont="1" applyFill="1" applyBorder="1" applyAlignment="1">
      <alignment vertical="top" wrapText="1"/>
    </xf>
    <xf numFmtId="0" fontId="16" fillId="13" borderId="1" xfId="0" applyFont="1" applyFill="1" applyBorder="1" applyAlignment="1">
      <alignment vertical="top" wrapText="1"/>
    </xf>
    <xf numFmtId="0" fontId="105" fillId="0" borderId="0" xfId="0" applyFont="1"/>
    <xf numFmtId="0" fontId="113" fillId="0" borderId="1" xfId="0" applyFont="1" applyBorder="1" applyAlignment="1">
      <alignment horizontal="center" vertical="center" wrapText="1"/>
    </xf>
    <xf numFmtId="0" fontId="114" fillId="0" borderId="1" xfId="0" applyFont="1" applyBorder="1" applyAlignment="1">
      <alignment horizontal="left" vertical="top" wrapText="1"/>
    </xf>
    <xf numFmtId="0" fontId="115" fillId="0" borderId="1" xfId="0" applyFont="1" applyBorder="1" applyAlignment="1">
      <alignment horizontal="left" vertical="top" wrapText="1"/>
    </xf>
    <xf numFmtId="0" fontId="116" fillId="0" borderId="1" xfId="0" applyFont="1" applyBorder="1" applyAlignment="1">
      <alignment vertical="top" wrapText="1"/>
    </xf>
    <xf numFmtId="0" fontId="111" fillId="0" borderId="1" xfId="0" applyFont="1" applyBorder="1" applyAlignment="1">
      <alignment vertical="top" wrapText="1"/>
    </xf>
    <xf numFmtId="0" fontId="117" fillId="0" borderId="1" xfId="0" applyFont="1" applyBorder="1" applyAlignment="1">
      <alignment vertical="top" wrapText="1"/>
    </xf>
    <xf numFmtId="0" fontId="116" fillId="6" borderId="1" xfId="0" applyFont="1" applyFill="1" applyBorder="1" applyAlignment="1">
      <alignment vertical="top" wrapText="1"/>
    </xf>
    <xf numFmtId="0" fontId="111" fillId="6" borderId="1" xfId="0" applyFont="1" applyFill="1" applyBorder="1" applyAlignment="1">
      <alignment vertical="top" wrapText="1"/>
    </xf>
    <xf numFmtId="0" fontId="111" fillId="4" borderId="1" xfId="0" applyFont="1" applyFill="1" applyBorder="1" applyAlignment="1">
      <alignment vertical="top" wrapText="1"/>
    </xf>
    <xf numFmtId="0" fontId="118" fillId="0" borderId="1" xfId="0" applyFont="1" applyBorder="1" applyAlignment="1">
      <alignment vertical="top" wrapText="1"/>
    </xf>
    <xf numFmtId="0" fontId="119" fillId="11" borderId="1" xfId="0" applyFont="1" applyFill="1" applyBorder="1" applyAlignment="1">
      <alignment vertical="top" wrapText="1"/>
    </xf>
    <xf numFmtId="0" fontId="114" fillId="6" borderId="1" xfId="0" applyFont="1" applyFill="1" applyBorder="1" applyAlignment="1">
      <alignment vertical="top" wrapText="1"/>
    </xf>
    <xf numFmtId="0" fontId="120" fillId="6" borderId="1" xfId="0" applyFont="1" applyFill="1" applyBorder="1" applyAlignment="1">
      <alignment vertical="top" wrapText="1"/>
    </xf>
    <xf numFmtId="0" fontId="114" fillId="6" borderId="1" xfId="0" applyFont="1" applyFill="1" applyBorder="1" applyAlignment="1">
      <alignment horizontal="left" vertical="top" wrapText="1"/>
    </xf>
    <xf numFmtId="0" fontId="113" fillId="0" borderId="1" xfId="0" applyFont="1" applyBorder="1" applyAlignment="1">
      <alignment vertical="top" wrapText="1"/>
    </xf>
    <xf numFmtId="0" fontId="121" fillId="0" borderId="0" xfId="0" applyFont="1"/>
    <xf numFmtId="0" fontId="122" fillId="0" borderId="1" xfId="0" applyFont="1" applyBorder="1" applyAlignment="1">
      <alignment horizontal="left" vertical="top" wrapText="1"/>
    </xf>
    <xf numFmtId="0" fontId="123" fillId="0" borderId="1" xfId="0" applyFont="1" applyBorder="1" applyAlignment="1">
      <alignment horizontal="center" vertical="center" wrapText="1"/>
    </xf>
    <xf numFmtId="0" fontId="124" fillId="0" borderId="1" xfId="0" applyFont="1" applyBorder="1" applyAlignment="1">
      <alignment vertical="top" wrapText="1"/>
    </xf>
    <xf numFmtId="0" fontId="123" fillId="6" borderId="1" xfId="0" applyFont="1" applyFill="1" applyBorder="1" applyAlignment="1">
      <alignment vertical="top" wrapText="1"/>
    </xf>
    <xf numFmtId="0" fontId="123" fillId="4" borderId="1" xfId="0" applyFont="1" applyFill="1" applyBorder="1" applyAlignment="1">
      <alignment vertical="top" wrapText="1"/>
    </xf>
    <xf numFmtId="0" fontId="124" fillId="0" borderId="1" xfId="0" applyFont="1" applyBorder="1" applyAlignment="1">
      <alignment horizontal="left" vertical="top" wrapText="1"/>
    </xf>
    <xf numFmtId="0" fontId="123" fillId="11" borderId="1" xfId="0" applyFont="1" applyFill="1" applyBorder="1" applyAlignment="1">
      <alignment vertical="top" wrapText="1"/>
    </xf>
    <xf numFmtId="0" fontId="124" fillId="11" borderId="1" xfId="0" applyFont="1" applyFill="1" applyBorder="1" applyAlignment="1">
      <alignment vertical="top" wrapText="1"/>
    </xf>
    <xf numFmtId="0" fontId="123" fillId="6" borderId="2" xfId="0" applyFont="1" applyFill="1" applyBorder="1" applyAlignment="1">
      <alignment vertical="top" wrapText="1"/>
    </xf>
    <xf numFmtId="0" fontId="124" fillId="6" borderId="1" xfId="0" applyFont="1" applyFill="1" applyBorder="1" applyAlignment="1">
      <alignment vertical="top" wrapText="1"/>
    </xf>
    <xf numFmtId="0" fontId="124" fillId="6" borderId="2" xfId="0" applyFont="1" applyFill="1" applyBorder="1" applyAlignment="1">
      <alignment vertical="top" wrapText="1"/>
    </xf>
    <xf numFmtId="0" fontId="123" fillId="4" borderId="2" xfId="0" applyFont="1" applyFill="1" applyBorder="1" applyAlignment="1">
      <alignment vertical="top" wrapText="1"/>
    </xf>
    <xf numFmtId="0" fontId="126" fillId="4" borderId="1" xfId="0" applyFont="1" applyFill="1" applyBorder="1" applyAlignment="1">
      <alignment vertical="top" wrapText="1"/>
    </xf>
    <xf numFmtId="0" fontId="124" fillId="4" borderId="1" xfId="0" applyFont="1" applyFill="1" applyBorder="1" applyAlignment="1">
      <alignment vertical="top" wrapText="1"/>
    </xf>
    <xf numFmtId="0" fontId="125" fillId="6" borderId="1" xfId="0" applyFont="1" applyFill="1" applyBorder="1" applyAlignment="1">
      <alignment vertical="top" wrapText="1"/>
    </xf>
    <xf numFmtId="0" fontId="128" fillId="0" borderId="0" xfId="0" applyFont="1"/>
    <xf numFmtId="0" fontId="123" fillId="18" borderId="1" xfId="0" applyFont="1" applyFill="1" applyBorder="1" applyAlignment="1">
      <alignment vertical="top" wrapText="1"/>
    </xf>
    <xf numFmtId="0" fontId="123" fillId="0" borderId="1" xfId="0" applyFont="1" applyBorder="1" applyAlignment="1">
      <alignment vertical="top" wrapText="1"/>
    </xf>
    <xf numFmtId="0" fontId="124" fillId="15" borderId="1" xfId="0" applyFont="1" applyFill="1" applyBorder="1" applyAlignment="1">
      <alignment vertical="top" wrapText="1"/>
    </xf>
    <xf numFmtId="0" fontId="112" fillId="19" borderId="1" xfId="0" applyFont="1" applyFill="1" applyBorder="1" applyAlignment="1">
      <alignment vertical="top" wrapText="1"/>
    </xf>
    <xf numFmtId="0" fontId="8" fillId="21" borderId="1" xfId="0" applyFont="1" applyFill="1" applyBorder="1" applyAlignment="1">
      <alignment vertical="top" wrapText="1"/>
    </xf>
    <xf numFmtId="0" fontId="104" fillId="0" borderId="1" xfId="1" applyBorder="1" applyAlignment="1">
      <alignment vertical="top" wrapText="1"/>
    </xf>
    <xf numFmtId="0" fontId="103" fillId="0" borderId="1" xfId="0" applyFont="1" applyBorder="1" applyAlignment="1">
      <alignment vertical="top" wrapText="1"/>
    </xf>
    <xf numFmtId="0" fontId="104" fillId="0" borderId="1" xfId="1" applyBorder="1" applyAlignment="1">
      <alignment horizontal="left" vertical="top" wrapText="1"/>
    </xf>
    <xf numFmtId="0" fontId="131" fillId="6" borderId="1" xfId="0" applyFont="1" applyFill="1" applyBorder="1" applyAlignment="1">
      <alignment vertical="top" wrapText="1"/>
    </xf>
    <xf numFmtId="0" fontId="63" fillId="22" borderId="1" xfId="0" applyFont="1" applyFill="1" applyBorder="1" applyAlignment="1">
      <alignment horizontal="left" vertical="top" wrapText="1"/>
    </xf>
    <xf numFmtId="0" fontId="2" fillId="22" borderId="1" xfId="0" applyFont="1" applyFill="1" applyBorder="1" applyAlignment="1">
      <alignment vertical="top" wrapText="1"/>
    </xf>
    <xf numFmtId="0" fontId="123" fillId="23" borderId="1" xfId="0" applyFont="1" applyFill="1" applyBorder="1" applyAlignment="1">
      <alignment vertical="top" wrapText="1"/>
    </xf>
    <xf numFmtId="0" fontId="111" fillId="22" borderId="1" xfId="0" applyFont="1" applyFill="1" applyBorder="1" applyAlignment="1">
      <alignment vertical="top" wrapText="1"/>
    </xf>
    <xf numFmtId="0" fontId="4" fillId="24" borderId="1" xfId="0" applyFont="1" applyFill="1" applyBorder="1" applyAlignment="1">
      <alignment vertical="top" wrapText="1"/>
    </xf>
    <xf numFmtId="0" fontId="3" fillId="22" borderId="1" xfId="0" applyFont="1" applyFill="1" applyBorder="1" applyAlignment="1">
      <alignment vertical="top" wrapText="1"/>
    </xf>
    <xf numFmtId="0" fontId="81" fillId="22" borderId="1" xfId="0" applyFont="1" applyFill="1" applyBorder="1" applyAlignment="1">
      <alignment horizontal="left" vertical="top" wrapText="1"/>
    </xf>
    <xf numFmtId="0" fontId="46" fillId="22" borderId="1" xfId="0" applyFont="1" applyFill="1" applyBorder="1" applyAlignment="1">
      <alignment horizontal="left" vertical="top" wrapText="1"/>
    </xf>
    <xf numFmtId="0" fontId="7" fillId="22" borderId="1" xfId="0" applyFont="1" applyFill="1" applyBorder="1" applyAlignment="1">
      <alignment horizontal="left" vertical="top" wrapText="1"/>
    </xf>
    <xf numFmtId="0" fontId="7" fillId="26" borderId="1" xfId="0" applyFont="1" applyFill="1" applyBorder="1" applyAlignment="1">
      <alignment horizontal="left" vertical="top" wrapText="1"/>
    </xf>
    <xf numFmtId="0" fontId="7" fillId="27" borderId="1" xfId="0" applyFont="1" applyFill="1" applyBorder="1" applyAlignment="1">
      <alignment horizontal="left" vertical="top" wrapText="1"/>
    </xf>
    <xf numFmtId="0" fontId="4" fillId="22" borderId="1" xfId="0" applyFont="1" applyFill="1" applyBorder="1" applyAlignment="1">
      <alignment horizontal="left" vertical="top" wrapText="1"/>
    </xf>
    <xf numFmtId="0" fontId="3" fillId="23" borderId="1" xfId="0" applyFont="1" applyFill="1" applyBorder="1" applyAlignment="1">
      <alignment vertical="top" wrapText="1"/>
    </xf>
    <xf numFmtId="0" fontId="3" fillId="28" borderId="1" xfId="0" applyFont="1" applyFill="1" applyBorder="1" applyAlignment="1">
      <alignment vertical="top" wrapText="1"/>
    </xf>
    <xf numFmtId="0" fontId="3" fillId="29" borderId="1" xfId="0" applyFont="1" applyFill="1" applyBorder="1" applyAlignment="1">
      <alignment vertical="top" wrapText="1"/>
    </xf>
    <xf numFmtId="0" fontId="4" fillId="30" borderId="1" xfId="0" applyFont="1" applyFill="1" applyBorder="1" applyAlignment="1">
      <alignment vertical="top" wrapText="1"/>
    </xf>
    <xf numFmtId="0" fontId="4" fillId="31" borderId="1" xfId="0" applyFont="1" applyFill="1" applyBorder="1" applyAlignment="1">
      <alignment vertical="top" wrapText="1"/>
    </xf>
    <xf numFmtId="0" fontId="4" fillId="22" borderId="1" xfId="0" applyFont="1" applyFill="1" applyBorder="1" applyAlignment="1">
      <alignment vertical="top" wrapText="1"/>
    </xf>
    <xf numFmtId="0" fontId="4" fillId="23" borderId="1" xfId="0" applyFont="1" applyFill="1" applyBorder="1" applyAlignment="1">
      <alignment vertical="top" wrapText="1"/>
    </xf>
    <xf numFmtId="0" fontId="0" fillId="22" borderId="0" xfId="0" applyFill="1"/>
    <xf numFmtId="0" fontId="133" fillId="4" borderId="1" xfId="0" applyFont="1" applyFill="1" applyBorder="1" applyAlignment="1">
      <alignment horizontal="left" vertical="top" wrapText="1"/>
    </xf>
    <xf numFmtId="0" fontId="133" fillId="7" borderId="1" xfId="0" applyFont="1" applyFill="1" applyBorder="1" applyAlignment="1">
      <alignment horizontal="left" vertical="top" wrapText="1"/>
    </xf>
    <xf numFmtId="0" fontId="133" fillId="5" borderId="1" xfId="0" applyFont="1" applyFill="1" applyBorder="1" applyAlignment="1">
      <alignment horizontal="left" vertical="top" wrapText="1"/>
    </xf>
    <xf numFmtId="0" fontId="2" fillId="0" borderId="1" xfId="0" applyFont="1" applyBorder="1"/>
    <xf numFmtId="0" fontId="4" fillId="0" borderId="2" xfId="0" applyFont="1" applyBorder="1" applyAlignment="1">
      <alignment vertical="top" wrapText="1"/>
    </xf>
    <xf numFmtId="0" fontId="7" fillId="0" borderId="0" xfId="0" applyFont="1" applyAlignment="1">
      <alignment horizontal="left" vertical="top" wrapText="1"/>
    </xf>
    <xf numFmtId="0" fontId="4" fillId="0" borderId="0" xfId="0" applyFont="1" applyAlignment="1">
      <alignment horizontal="left" vertical="top" wrapText="1"/>
    </xf>
    <xf numFmtId="0" fontId="46" fillId="0" borderId="0" xfId="0" applyFont="1" applyAlignment="1">
      <alignment horizontal="left" vertical="top" wrapText="1"/>
    </xf>
    <xf numFmtId="0" fontId="27" fillId="8" borderId="1" xfId="0" applyFont="1" applyFill="1" applyBorder="1" applyAlignment="1">
      <alignment vertical="top" wrapText="1"/>
    </xf>
    <xf numFmtId="0" fontId="4" fillId="9" borderId="1" xfId="0" applyFont="1" applyFill="1" applyBorder="1" applyAlignment="1">
      <alignment wrapText="1"/>
    </xf>
    <xf numFmtId="0" fontId="108" fillId="0" borderId="0" xfId="0" applyFont="1"/>
    <xf numFmtId="0" fontId="104" fillId="0" borderId="0" xfId="1" applyBorder="1" applyAlignment="1">
      <alignment vertical="top" wrapText="1"/>
    </xf>
    <xf numFmtId="0" fontId="9" fillId="3" borderId="1" xfId="0" applyFont="1" applyFill="1" applyBorder="1" applyAlignment="1">
      <alignment horizontal="left"/>
    </xf>
    <xf numFmtId="0" fontId="5" fillId="3" borderId="2" xfId="0" applyFont="1" applyFill="1" applyBorder="1" applyAlignment="1">
      <alignment vertical="top"/>
    </xf>
    <xf numFmtId="0" fontId="54" fillId="0" borderId="0" xfId="0" applyFont="1" applyAlignment="1">
      <alignment horizontal="left" vertical="top" wrapText="1"/>
    </xf>
    <xf numFmtId="0" fontId="2" fillId="6" borderId="2" xfId="0" applyFont="1" applyFill="1" applyBorder="1" applyAlignment="1">
      <alignment vertical="top" wrapText="1"/>
    </xf>
    <xf numFmtId="0" fontId="16" fillId="0" borderId="0" xfId="0" applyFont="1"/>
    <xf numFmtId="0" fontId="21" fillId="0" borderId="1" xfId="0" applyFont="1" applyBorder="1"/>
    <xf numFmtId="0" fontId="124" fillId="0" borderId="0" xfId="0" applyFont="1" applyAlignment="1">
      <alignment vertical="top" wrapText="1"/>
    </xf>
    <xf numFmtId="0" fontId="111" fillId="0" borderId="0" xfId="0" applyFont="1" applyAlignment="1">
      <alignment vertical="top" wrapText="1"/>
    </xf>
    <xf numFmtId="0" fontId="9" fillId="0" borderId="0" xfId="0" applyFont="1" applyAlignment="1">
      <alignment horizontal="left" vertical="top" wrapText="1"/>
    </xf>
    <xf numFmtId="0" fontId="2" fillId="0" borderId="0" xfId="0" applyFont="1" applyAlignment="1">
      <alignment horizontal="left" vertical="top" wrapText="1"/>
    </xf>
    <xf numFmtId="0" fontId="8" fillId="22" borderId="1" xfId="0" applyFont="1" applyFill="1" applyBorder="1" applyAlignment="1">
      <alignment vertical="top" wrapText="1"/>
    </xf>
    <xf numFmtId="0" fontId="10" fillId="22" borderId="1" xfId="0" applyFont="1" applyFill="1" applyBorder="1" applyAlignment="1">
      <alignment vertical="top" wrapText="1"/>
    </xf>
    <xf numFmtId="0" fontId="9" fillId="22" borderId="1" xfId="0" applyFont="1" applyFill="1" applyBorder="1" applyAlignment="1">
      <alignment horizontal="left" vertical="top" wrapText="1"/>
    </xf>
    <xf numFmtId="0" fontId="5" fillId="25" borderId="1" xfId="0" applyFont="1" applyFill="1" applyBorder="1" applyAlignment="1">
      <alignment vertical="top" wrapText="1"/>
    </xf>
    <xf numFmtId="0" fontId="20" fillId="22" borderId="1" xfId="0" applyFont="1" applyFill="1" applyBorder="1" applyAlignment="1">
      <alignment vertical="top" wrapText="1"/>
    </xf>
    <xf numFmtId="0" fontId="2" fillId="22" borderId="1" xfId="0" applyFont="1" applyFill="1" applyBorder="1" applyAlignment="1">
      <alignment horizontal="left" vertical="top" wrapText="1"/>
    </xf>
    <xf numFmtId="0" fontId="6" fillId="22" borderId="1" xfId="0" applyFont="1" applyFill="1" applyBorder="1" applyAlignment="1">
      <alignment horizontal="left" vertical="top" wrapText="1"/>
    </xf>
    <xf numFmtId="0" fontId="6" fillId="27" borderId="1" xfId="0" applyFont="1" applyFill="1" applyBorder="1" applyAlignment="1">
      <alignment horizontal="left" vertical="top" wrapText="1"/>
    </xf>
    <xf numFmtId="0" fontId="4" fillId="28" borderId="1" xfId="0" applyFont="1" applyFill="1" applyBorder="1" applyAlignment="1">
      <alignment vertical="top" wrapText="1"/>
    </xf>
    <xf numFmtId="0" fontId="4" fillId="29" borderId="1" xfId="0" applyFont="1" applyFill="1" applyBorder="1" applyAlignment="1">
      <alignment vertical="top" wrapText="1"/>
    </xf>
    <xf numFmtId="0" fontId="123" fillId="26" borderId="1" xfId="0" applyFont="1" applyFill="1" applyBorder="1" applyAlignment="1">
      <alignment vertical="top" wrapText="1"/>
    </xf>
    <xf numFmtId="0" fontId="9" fillId="32" borderId="1" xfId="0" applyFont="1" applyFill="1" applyBorder="1" applyAlignment="1">
      <alignment horizontal="left" vertical="top" wrapText="1"/>
    </xf>
    <xf numFmtId="0" fontId="6" fillId="22" borderId="1" xfId="0" applyFont="1" applyFill="1" applyBorder="1" applyAlignment="1">
      <alignment vertical="top" wrapText="1"/>
    </xf>
    <xf numFmtId="0" fontId="6" fillId="26" borderId="1" xfId="0" applyFont="1" applyFill="1" applyBorder="1" applyAlignment="1">
      <alignment vertical="top" wrapText="1"/>
    </xf>
    <xf numFmtId="0" fontId="6" fillId="27" borderId="1" xfId="0" applyFont="1" applyFill="1" applyBorder="1" applyAlignment="1">
      <alignment vertical="top" wrapText="1"/>
    </xf>
    <xf numFmtId="0" fontId="5" fillId="25" borderId="2" xfId="0" applyFont="1" applyFill="1" applyBorder="1" applyAlignment="1">
      <alignment vertical="top" wrapText="1"/>
    </xf>
    <xf numFmtId="0" fontId="6" fillId="26" borderId="1" xfId="0" applyFont="1" applyFill="1" applyBorder="1" applyAlignment="1">
      <alignment horizontal="left" vertical="top" wrapText="1"/>
    </xf>
    <xf numFmtId="0" fontId="26" fillId="22" borderId="1" xfId="0" applyFont="1" applyFill="1" applyBorder="1" applyAlignment="1">
      <alignment vertical="top" wrapText="1"/>
    </xf>
    <xf numFmtId="0" fontId="141" fillId="22" borderId="0" xfId="0" applyFont="1" applyFill="1"/>
    <xf numFmtId="0" fontId="10" fillId="8" borderId="1" xfId="0" applyFont="1" applyFill="1" applyBorder="1" applyAlignment="1">
      <alignment vertical="top" wrapText="1"/>
    </xf>
    <xf numFmtId="0" fontId="100" fillId="9" borderId="1" xfId="0" applyFont="1" applyFill="1" applyBorder="1" applyAlignment="1">
      <alignment vertical="top" wrapText="1"/>
    </xf>
    <xf numFmtId="0" fontId="9" fillId="15" borderId="1" xfId="0" applyFont="1" applyFill="1" applyBorder="1" applyAlignment="1">
      <alignment vertical="top" wrapText="1"/>
    </xf>
    <xf numFmtId="0" fontId="111" fillId="15" borderId="1" xfId="0" applyFont="1" applyFill="1" applyBorder="1" applyAlignment="1">
      <alignment vertical="top" wrapText="1"/>
    </xf>
    <xf numFmtId="0" fontId="4" fillId="34" borderId="1" xfId="0" applyFont="1" applyFill="1" applyBorder="1" applyAlignment="1">
      <alignment vertical="top" wrapText="1"/>
    </xf>
    <xf numFmtId="0" fontId="10" fillId="15" borderId="1" xfId="0" applyFont="1" applyFill="1" applyBorder="1" applyAlignment="1">
      <alignment vertical="top" wrapText="1"/>
    </xf>
    <xf numFmtId="0" fontId="4" fillId="15" borderId="1" xfId="0" applyFont="1" applyFill="1" applyBorder="1" applyAlignment="1">
      <alignment vertical="top" wrapText="1"/>
    </xf>
    <xf numFmtId="0" fontId="81" fillId="15" borderId="1" xfId="0" applyFont="1" applyFill="1" applyBorder="1" applyAlignment="1">
      <alignment vertical="top" wrapText="1"/>
    </xf>
    <xf numFmtId="0" fontId="5" fillId="35" borderId="1" xfId="0" applyFont="1" applyFill="1" applyBorder="1" applyAlignment="1">
      <alignment vertical="top" wrapText="1"/>
    </xf>
    <xf numFmtId="0" fontId="5" fillId="35" borderId="2" xfId="0" applyFont="1" applyFill="1" applyBorder="1" applyAlignment="1">
      <alignment vertical="top" wrapText="1"/>
    </xf>
    <xf numFmtId="0" fontId="54" fillId="15" borderId="1" xfId="0" applyFont="1" applyFill="1" applyBorder="1" applyAlignment="1">
      <alignment horizontal="left" vertical="top" wrapText="1"/>
    </xf>
    <xf numFmtId="0" fontId="7" fillId="15" borderId="1" xfId="0" applyFont="1" applyFill="1" applyBorder="1" applyAlignment="1">
      <alignment horizontal="left" vertical="top" wrapText="1"/>
    </xf>
    <xf numFmtId="0" fontId="7" fillId="19" borderId="1" xfId="0" applyFont="1" applyFill="1" applyBorder="1" applyAlignment="1">
      <alignment horizontal="left" vertical="top" wrapText="1"/>
    </xf>
    <xf numFmtId="0" fontId="7" fillId="36" borderId="1" xfId="0" applyFont="1" applyFill="1" applyBorder="1" applyAlignment="1">
      <alignment horizontal="left" vertical="top" wrapText="1"/>
    </xf>
    <xf numFmtId="0" fontId="4" fillId="15" borderId="1" xfId="0" applyFont="1" applyFill="1" applyBorder="1" applyAlignment="1">
      <alignment horizontal="left" vertical="top" wrapText="1"/>
    </xf>
    <xf numFmtId="0" fontId="4" fillId="33" borderId="1" xfId="0" applyFont="1" applyFill="1" applyBorder="1" applyAlignment="1">
      <alignment vertical="top" wrapText="1"/>
    </xf>
    <xf numFmtId="0" fontId="4" fillId="37" borderId="1" xfId="0" applyFont="1" applyFill="1" applyBorder="1" applyAlignment="1">
      <alignment vertical="top" wrapText="1"/>
    </xf>
    <xf numFmtId="0" fontId="4" fillId="38" borderId="1" xfId="0" applyFont="1" applyFill="1" applyBorder="1" applyAlignment="1">
      <alignment vertical="top" wrapText="1"/>
    </xf>
    <xf numFmtId="0" fontId="4" fillId="39" borderId="1" xfId="0" applyFont="1" applyFill="1" applyBorder="1" applyAlignment="1">
      <alignment vertical="top" wrapText="1"/>
    </xf>
    <xf numFmtId="0" fontId="10" fillId="40" borderId="1" xfId="0" applyFont="1" applyFill="1" applyBorder="1" applyAlignment="1">
      <alignment vertical="top" wrapText="1"/>
    </xf>
    <xf numFmtId="0" fontId="0" fillId="15" borderId="0" xfId="0" applyFill="1"/>
    <xf numFmtId="0" fontId="26" fillId="15" borderId="1" xfId="0" applyFont="1" applyFill="1" applyBorder="1" applyAlignment="1">
      <alignment vertical="top" wrapText="1"/>
    </xf>
    <xf numFmtId="0" fontId="26" fillId="37" borderId="1" xfId="0" applyFont="1" applyFill="1" applyBorder="1" applyAlignment="1">
      <alignment vertical="top" wrapText="1"/>
    </xf>
    <xf numFmtId="0" fontId="136" fillId="15" borderId="1" xfId="1" applyFont="1" applyFill="1" applyBorder="1" applyAlignment="1">
      <alignment vertical="top" wrapText="1"/>
    </xf>
    <xf numFmtId="0" fontId="81" fillId="22" borderId="1" xfId="0" applyFont="1" applyFill="1" applyBorder="1" applyAlignment="1">
      <alignment vertical="top" wrapText="1"/>
    </xf>
    <xf numFmtId="0" fontId="19" fillId="9" borderId="1" xfId="0" applyFont="1" applyFill="1" applyBorder="1" applyAlignment="1">
      <alignment vertical="top" wrapText="1"/>
    </xf>
    <xf numFmtId="0" fontId="8" fillId="0" borderId="0" xfId="0" applyFont="1"/>
    <xf numFmtId="0" fontId="8" fillId="0" borderId="0" xfId="0" applyFont="1" applyAlignment="1">
      <alignment vertical="top" wrapText="1"/>
    </xf>
    <xf numFmtId="0" fontId="2" fillId="0" borderId="0" xfId="0" applyFont="1"/>
    <xf numFmtId="0" fontId="24" fillId="6" borderId="2" xfId="0" applyFont="1" applyFill="1" applyBorder="1" applyAlignment="1">
      <alignment vertical="top" wrapText="1"/>
    </xf>
    <xf numFmtId="0" fontId="106" fillId="0" borderId="0" xfId="0" applyFont="1"/>
    <xf numFmtId="0" fontId="132" fillId="6" borderId="2" xfId="0" applyFont="1" applyFill="1" applyBorder="1" applyAlignment="1">
      <alignment vertical="top" wrapText="1"/>
    </xf>
    <xf numFmtId="0" fontId="123" fillId="0" borderId="0" xfId="0" applyFont="1" applyAlignment="1">
      <alignment vertical="top" wrapText="1"/>
    </xf>
    <xf numFmtId="0" fontId="125" fillId="0" borderId="1" xfId="0" applyFont="1" applyBorder="1" applyAlignment="1">
      <alignment vertical="top" wrapText="1"/>
    </xf>
    <xf numFmtId="0" fontId="124" fillId="6" borderId="0" xfId="0" applyFont="1" applyFill="1" applyAlignment="1">
      <alignment vertical="top" wrapText="1"/>
    </xf>
    <xf numFmtId="0" fontId="116" fillId="0" borderId="0" xfId="0" applyFont="1" applyAlignment="1">
      <alignment vertical="top" wrapText="1"/>
    </xf>
    <xf numFmtId="0" fontId="122" fillId="0" borderId="0" xfId="0" applyFont="1" applyAlignment="1">
      <alignment horizontal="left" vertical="top" wrapText="1"/>
    </xf>
    <xf numFmtId="0" fontId="119" fillId="6" borderId="2" xfId="0" applyFont="1" applyFill="1" applyBorder="1" applyAlignment="1">
      <alignment vertical="top" wrapText="1"/>
    </xf>
    <xf numFmtId="0" fontId="8" fillId="2" borderId="2" xfId="0" applyFont="1" applyFill="1" applyBorder="1" applyAlignment="1">
      <alignment horizontal="left" vertical="top" wrapText="1"/>
    </xf>
    <xf numFmtId="0" fontId="23" fillId="0" borderId="0" xfId="0" applyFont="1" applyAlignment="1">
      <alignment vertical="top" wrapText="1"/>
    </xf>
    <xf numFmtId="0" fontId="104" fillId="0" borderId="0" xfId="1" applyBorder="1" applyAlignment="1"/>
    <xf numFmtId="0" fontId="74" fillId="0" borderId="0" xfId="0" applyFont="1" applyAlignment="1">
      <alignment vertical="top" wrapText="1"/>
    </xf>
    <xf numFmtId="0" fontId="86" fillId="0" borderId="0" xfId="0" applyFont="1" applyAlignment="1">
      <alignment horizontal="left" vertical="top" wrapText="1"/>
    </xf>
    <xf numFmtId="0" fontId="104" fillId="0" borderId="2" xfId="1" applyBorder="1" applyAlignment="1">
      <alignment vertical="top" wrapText="1"/>
    </xf>
    <xf numFmtId="0" fontId="3" fillId="0" borderId="0" xfId="0" applyFont="1" applyAlignment="1">
      <alignment vertical="top" wrapText="1"/>
    </xf>
    <xf numFmtId="0" fontId="63" fillId="0" borderId="0" xfId="0" applyFont="1" applyAlignment="1">
      <alignment vertical="top" wrapText="1"/>
    </xf>
    <xf numFmtId="0" fontId="109" fillId="0" borderId="0" xfId="0" applyFont="1"/>
    <xf numFmtId="0" fontId="81" fillId="0" borderId="0" xfId="0" applyFont="1" applyAlignment="1">
      <alignment horizontal="left" vertical="top" wrapText="1"/>
    </xf>
    <xf numFmtId="0" fontId="81" fillId="0" borderId="0" xfId="0" applyFont="1" applyAlignment="1">
      <alignment vertical="top" wrapText="1"/>
    </xf>
    <xf numFmtId="0" fontId="7" fillId="3" borderId="2" xfId="0" applyFont="1" applyFill="1" applyBorder="1" applyAlignment="1">
      <alignment vertical="top" wrapText="1"/>
    </xf>
    <xf numFmtId="0" fontId="7" fillId="25" borderId="1" xfId="0" applyFont="1" applyFill="1" applyBorder="1" applyAlignment="1">
      <alignment vertical="top" wrapText="1"/>
    </xf>
    <xf numFmtId="0" fontId="77" fillId="3" borderId="1" xfId="0" applyFont="1" applyFill="1" applyBorder="1" applyAlignment="1">
      <alignment vertical="top" wrapText="1"/>
    </xf>
    <xf numFmtId="0" fontId="5" fillId="3" borderId="1" xfId="0" applyFont="1" applyFill="1" applyBorder="1" applyAlignment="1">
      <alignment vertical="top"/>
    </xf>
    <xf numFmtId="0" fontId="90" fillId="3" borderId="1" xfId="0" applyFont="1" applyFill="1" applyBorder="1" applyAlignment="1">
      <alignment vertical="top" wrapText="1"/>
    </xf>
    <xf numFmtId="0" fontId="65" fillId="3" borderId="2" xfId="0" applyFont="1" applyFill="1" applyBorder="1" applyAlignment="1">
      <alignment vertical="top" wrapText="1"/>
    </xf>
    <xf numFmtId="0" fontId="2" fillId="11" borderId="2" xfId="0" applyFont="1" applyFill="1" applyBorder="1" applyAlignment="1">
      <alignment horizontal="left" vertical="top" wrapText="1"/>
    </xf>
    <xf numFmtId="0" fontId="110" fillId="0" borderId="0" xfId="0" applyFont="1"/>
    <xf numFmtId="0" fontId="3" fillId="0" borderId="0" xfId="0" applyFont="1" applyAlignment="1">
      <alignment horizontal="left" vertical="top" wrapText="1"/>
    </xf>
    <xf numFmtId="0" fontId="54" fillId="6"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2" fillId="0" borderId="2" xfId="0" applyFont="1" applyBorder="1"/>
    <xf numFmtId="0" fontId="9" fillId="0" borderId="0" xfId="0" applyFont="1" applyAlignment="1">
      <alignment vertical="top" wrapText="1"/>
    </xf>
    <xf numFmtId="0" fontId="7" fillId="6" borderId="2" xfId="0" applyFont="1" applyFill="1" applyBorder="1" applyAlignment="1">
      <alignment horizontal="left" vertical="top" wrapText="1"/>
    </xf>
    <xf numFmtId="0" fontId="7" fillId="0" borderId="0" xfId="0" applyFont="1" applyAlignment="1">
      <alignment vertical="top" wrapText="1"/>
    </xf>
    <xf numFmtId="0" fontId="6" fillId="0" borderId="0" xfId="0" applyFont="1" applyAlignment="1">
      <alignment horizontal="left" vertical="top" wrapText="1"/>
    </xf>
    <xf numFmtId="0" fontId="107" fillId="0" borderId="0" xfId="0" applyFont="1"/>
    <xf numFmtId="0" fontId="6" fillId="0" borderId="0" xfId="0" applyFont="1"/>
    <xf numFmtId="0" fontId="6" fillId="6" borderId="2" xfId="0" applyFont="1" applyFill="1" applyBorder="1" applyAlignment="1">
      <alignment horizontal="left" vertical="top" wrapText="1"/>
    </xf>
    <xf numFmtId="0" fontId="6" fillId="6" borderId="2" xfId="0" applyFont="1" applyFill="1" applyBorder="1" applyAlignment="1">
      <alignment vertical="top" wrapText="1"/>
    </xf>
    <xf numFmtId="0" fontId="7" fillId="11" borderId="2" xfId="0" applyFont="1" applyFill="1" applyBorder="1" applyAlignment="1">
      <alignment horizontal="left" vertical="top" wrapText="1"/>
    </xf>
    <xf numFmtId="0" fontId="7" fillId="6" borderId="0" xfId="0" applyFont="1" applyFill="1" applyAlignment="1">
      <alignment horizontal="left" vertical="top" wrapText="1"/>
    </xf>
    <xf numFmtId="0" fontId="45" fillId="4" borderId="2" xfId="0" applyFont="1" applyFill="1" applyBorder="1" applyAlignment="1">
      <alignment vertical="top" wrapText="1"/>
    </xf>
    <xf numFmtId="0" fontId="4" fillId="5" borderId="2" xfId="0" applyFont="1" applyFill="1" applyBorder="1" applyAlignment="1">
      <alignment vertical="top" wrapText="1"/>
    </xf>
    <xf numFmtId="0" fontId="7" fillId="5" borderId="3" xfId="0" applyFont="1" applyFill="1" applyBorder="1" applyAlignment="1">
      <alignment horizontal="left" vertical="top" wrapText="1"/>
    </xf>
    <xf numFmtId="0" fontId="4" fillId="22" borderId="0" xfId="0" applyFont="1" applyFill="1" applyAlignment="1">
      <alignment vertical="top" wrapText="1"/>
    </xf>
    <xf numFmtId="0" fontId="21" fillId="6" borderId="0" xfId="0" applyFont="1" applyFill="1" applyAlignment="1">
      <alignment wrapText="1"/>
    </xf>
    <xf numFmtId="0" fontId="4" fillId="22" borderId="0" xfId="0" applyFont="1" applyFill="1" applyAlignment="1">
      <alignment horizontal="left" vertical="top" wrapText="1"/>
    </xf>
    <xf numFmtId="0" fontId="4" fillId="15" borderId="0" xfId="0" applyFont="1" applyFill="1" applyAlignment="1">
      <alignment vertical="top" wrapText="1"/>
    </xf>
    <xf numFmtId="0" fontId="4" fillId="23" borderId="2" xfId="0" applyFont="1" applyFill="1" applyBorder="1" applyAlignment="1">
      <alignment vertical="top" wrapText="1"/>
    </xf>
    <xf numFmtId="0" fontId="4" fillId="0" borderId="0" xfId="0" applyFont="1"/>
    <xf numFmtId="0" fontId="84" fillId="11" borderId="0" xfId="0" applyFont="1" applyFill="1" applyAlignment="1">
      <alignment horizontal="left"/>
    </xf>
    <xf numFmtId="0" fontId="24" fillId="7" borderId="2" xfId="0" applyFont="1" applyFill="1" applyBorder="1" applyAlignment="1">
      <alignment vertical="top" wrapText="1"/>
    </xf>
    <xf numFmtId="0" fontId="4" fillId="28" borderId="2" xfId="0" applyFont="1" applyFill="1" applyBorder="1" applyAlignment="1">
      <alignment vertical="top" wrapText="1"/>
    </xf>
    <xf numFmtId="0" fontId="66" fillId="7" borderId="2" xfId="0" applyFont="1" applyFill="1" applyBorder="1" applyAlignment="1">
      <alignment vertical="top" wrapText="1"/>
    </xf>
    <xf numFmtId="0" fontId="133" fillId="7" borderId="3" xfId="0" applyFont="1" applyFill="1" applyBorder="1" applyAlignment="1">
      <alignment horizontal="left" vertical="top" wrapText="1"/>
    </xf>
    <xf numFmtId="0" fontId="16" fillId="8" borderId="2" xfId="0" applyFont="1" applyFill="1" applyBorder="1" applyAlignment="1">
      <alignment vertical="top" wrapText="1"/>
    </xf>
    <xf numFmtId="0" fontId="16" fillId="8" borderId="2" xfId="0" applyFont="1" applyFill="1" applyBorder="1"/>
    <xf numFmtId="0" fontId="27" fillId="8" borderId="2" xfId="0" applyFont="1" applyFill="1" applyBorder="1" applyAlignment="1">
      <alignment vertical="top" wrapText="1"/>
    </xf>
    <xf numFmtId="0" fontId="16" fillId="9" borderId="2" xfId="0" applyFont="1" applyFill="1" applyBorder="1" applyAlignment="1">
      <alignment vertical="top" wrapText="1"/>
    </xf>
    <xf numFmtId="0" fontId="100" fillId="9" borderId="2" xfId="0" applyFont="1" applyFill="1" applyBorder="1" applyAlignment="1">
      <alignment vertical="top" wrapText="1"/>
    </xf>
    <xf numFmtId="0" fontId="80" fillId="9" borderId="2" xfId="0" applyFont="1" applyFill="1" applyBorder="1" applyAlignment="1">
      <alignment vertical="top" wrapText="1"/>
    </xf>
    <xf numFmtId="0" fontId="4" fillId="39" borderId="2" xfId="0" applyFont="1" applyFill="1" applyBorder="1" applyAlignment="1">
      <alignment vertical="top" wrapText="1"/>
    </xf>
    <xf numFmtId="0" fontId="16" fillId="9" borderId="0" xfId="0" applyFont="1" applyFill="1" applyAlignment="1">
      <alignment vertical="top" wrapText="1"/>
    </xf>
    <xf numFmtId="0" fontId="37" fillId="10" borderId="2" xfId="0" applyFont="1" applyFill="1" applyBorder="1"/>
    <xf numFmtId="0" fontId="88" fillId="10" borderId="2" xfId="0" applyFont="1" applyFill="1" applyBorder="1" applyAlignment="1">
      <alignment vertical="top" wrapText="1"/>
    </xf>
    <xf numFmtId="0" fontId="32" fillId="10" borderId="2" xfId="0" applyFont="1" applyFill="1" applyBorder="1" applyAlignment="1">
      <alignment horizontal="left" wrapText="1"/>
    </xf>
    <xf numFmtId="0" fontId="33" fillId="10" borderId="2" xfId="0" applyFont="1" applyFill="1" applyBorder="1" applyAlignment="1">
      <alignment wrapText="1"/>
    </xf>
    <xf numFmtId="0" fontId="34" fillId="10" borderId="2" xfId="0" applyFont="1" applyFill="1" applyBorder="1"/>
    <xf numFmtId="0" fontId="143" fillId="0" borderId="0" xfId="0" applyFont="1"/>
    <xf numFmtId="0" fontId="144" fillId="0" borderId="0" xfId="0" applyFont="1"/>
    <xf numFmtId="0" fontId="123" fillId="6" borderId="0" xfId="0" applyFont="1" applyFill="1" applyAlignment="1">
      <alignment vertical="top" wrapText="1"/>
    </xf>
    <xf numFmtId="0" fontId="25" fillId="3" borderId="2" xfId="0" applyFont="1" applyFill="1" applyBorder="1" applyAlignment="1">
      <alignment vertical="top" wrapText="1"/>
    </xf>
    <xf numFmtId="0" fontId="40" fillId="3" borderId="1" xfId="0" applyFont="1" applyFill="1" applyBorder="1" applyAlignment="1">
      <alignment vertical="top" wrapText="1"/>
    </xf>
    <xf numFmtId="0" fontId="38" fillId="6" borderId="1" xfId="0" applyFont="1" applyFill="1" applyBorder="1" applyAlignment="1">
      <alignment vertical="top" wrapText="1"/>
    </xf>
    <xf numFmtId="0" fontId="44" fillId="6" borderId="1" xfId="0" applyFont="1" applyFill="1" applyBorder="1" applyAlignment="1">
      <alignment vertical="top" wrapText="1"/>
    </xf>
    <xf numFmtId="0" fontId="39" fillId="7" borderId="1" xfId="0" applyFont="1" applyFill="1" applyBorder="1" applyAlignment="1">
      <alignment vertical="top" wrapText="1"/>
    </xf>
    <xf numFmtId="0" fontId="43" fillId="7" borderId="2" xfId="0" applyFont="1" applyFill="1" applyBorder="1" applyAlignment="1">
      <alignment vertical="top" wrapText="1"/>
    </xf>
    <xf numFmtId="0" fontId="41" fillId="8" borderId="2" xfId="0" applyFont="1" applyFill="1" applyBorder="1" applyAlignment="1">
      <alignment vertical="top" wrapText="1"/>
    </xf>
    <xf numFmtId="0" fontId="42" fillId="13" borderId="1" xfId="0" applyFont="1" applyFill="1" applyBorder="1" applyAlignment="1">
      <alignment vertical="top" wrapText="1"/>
    </xf>
    <xf numFmtId="0" fontId="4" fillId="13" borderId="0" xfId="0" applyFont="1" applyFill="1" applyAlignment="1">
      <alignment vertical="top" wrapText="1"/>
    </xf>
    <xf numFmtId="0" fontId="146" fillId="0" borderId="1" xfId="0" applyFont="1" applyBorder="1" applyAlignment="1">
      <alignment vertical="top" wrapText="1"/>
    </xf>
    <xf numFmtId="0" fontId="147" fillId="0" borderId="1" xfId="0" applyFont="1" applyBorder="1" applyAlignment="1">
      <alignment vertical="top" wrapText="1"/>
    </xf>
    <xf numFmtId="0" fontId="147" fillId="20" borderId="1" xfId="0" applyFont="1" applyFill="1" applyBorder="1" applyAlignment="1">
      <alignment vertical="top" wrapText="1"/>
    </xf>
    <xf numFmtId="0" fontId="149" fillId="0" borderId="1" xfId="0" applyFont="1" applyBorder="1" applyAlignment="1">
      <alignment horizontal="left" vertical="top" wrapText="1"/>
    </xf>
    <xf numFmtId="0" fontId="147" fillId="22" borderId="1" xfId="0" applyFont="1" applyFill="1" applyBorder="1" applyAlignment="1">
      <alignment vertical="top" wrapText="1"/>
    </xf>
    <xf numFmtId="0" fontId="5" fillId="0" borderId="1" xfId="0" applyFont="1" applyBorder="1" applyAlignment="1">
      <alignment vertical="top" wrapText="1"/>
    </xf>
    <xf numFmtId="0" fontId="6" fillId="0" borderId="2" xfId="0" applyFont="1" applyBorder="1" applyAlignment="1">
      <alignment horizontal="left" vertical="top" wrapText="1"/>
    </xf>
    <xf numFmtId="0" fontId="6" fillId="0" borderId="2" xfId="0" applyFont="1" applyBorder="1" applyAlignment="1">
      <alignment vertical="top" wrapText="1"/>
    </xf>
    <xf numFmtId="0" fontId="53" fillId="0" borderId="1" xfId="0" applyFont="1" applyBorder="1" applyAlignment="1">
      <alignment vertical="top" wrapText="1"/>
    </xf>
    <xf numFmtId="0" fontId="7" fillId="0" borderId="2" xfId="0" applyFont="1" applyBorder="1" applyAlignment="1">
      <alignment horizontal="left" vertical="top" wrapText="1"/>
    </xf>
    <xf numFmtId="0" fontId="19" fillId="0" borderId="1" xfId="0" applyFont="1" applyBorder="1" applyAlignment="1">
      <alignment vertical="top" wrapText="1"/>
    </xf>
    <xf numFmtId="0" fontId="5" fillId="0" borderId="2" xfId="0" applyFont="1" applyBorder="1" applyAlignment="1">
      <alignment vertical="top" wrapText="1"/>
    </xf>
    <xf numFmtId="0" fontId="147" fillId="21" borderId="1" xfId="0" applyFont="1" applyFill="1" applyBorder="1" applyAlignment="1">
      <alignment vertical="top" wrapText="1"/>
    </xf>
    <xf numFmtId="0" fontId="150" fillId="0" borderId="1" xfId="0" applyFont="1" applyBorder="1" applyAlignment="1">
      <alignment vertical="top" wrapText="1"/>
    </xf>
    <xf numFmtId="0" fontId="147" fillId="6" borderId="1" xfId="0" applyFont="1" applyFill="1" applyBorder="1" applyAlignment="1">
      <alignment vertical="top" wrapText="1"/>
    </xf>
    <xf numFmtId="0" fontId="147" fillId="0" borderId="1" xfId="0" applyFont="1" applyBorder="1" applyAlignment="1">
      <alignment horizontal="left" vertical="top" wrapText="1"/>
    </xf>
    <xf numFmtId="0" fontId="148" fillId="0" borderId="1" xfId="0" applyFont="1" applyBorder="1" applyAlignment="1">
      <alignment vertical="top" wrapText="1"/>
    </xf>
    <xf numFmtId="0" fontId="149" fillId="0" borderId="1" xfId="0" applyFont="1" applyBorder="1" applyAlignment="1">
      <alignment vertical="top" wrapText="1"/>
    </xf>
    <xf numFmtId="0" fontId="151" fillId="0" borderId="1" xfId="0" applyFont="1" applyBorder="1" applyAlignment="1">
      <alignment horizontal="left" vertical="top" wrapText="1"/>
    </xf>
    <xf numFmtId="0" fontId="147" fillId="0" borderId="0" xfId="0" applyFont="1"/>
    <xf numFmtId="0" fontId="1" fillId="0" borderId="1" xfId="2" applyFont="1" applyFill="1" applyBorder="1" applyAlignment="1">
      <alignment vertical="top" wrapText="1"/>
    </xf>
    <xf numFmtId="0" fontId="151" fillId="0" borderId="0" xfId="0" applyFont="1"/>
    <xf numFmtId="0" fontId="151" fillId="0" borderId="0" xfId="0" applyFont="1" applyAlignment="1">
      <alignment horizontal="left" vertical="top" wrapText="1"/>
    </xf>
    <xf numFmtId="0" fontId="151" fillId="16" borderId="1" xfId="0" applyFont="1" applyFill="1" applyBorder="1" applyAlignment="1">
      <alignment horizontal="left" vertical="top" wrapText="1"/>
    </xf>
    <xf numFmtId="0" fontId="151" fillId="17" borderId="1" xfId="0" applyFont="1" applyFill="1" applyBorder="1" applyAlignment="1">
      <alignment horizontal="left" vertical="top" wrapText="1"/>
    </xf>
    <xf numFmtId="0" fontId="151" fillId="0" borderId="4" xfId="0" applyFont="1" applyBorder="1" applyAlignment="1">
      <alignment horizontal="left" vertical="top" wrapText="1"/>
    </xf>
    <xf numFmtId="0" fontId="151" fillId="20" borderId="1" xfId="0" applyFont="1" applyFill="1" applyBorder="1" applyAlignment="1">
      <alignment horizontal="left" vertical="top" wrapText="1"/>
    </xf>
    <xf numFmtId="0" fontId="16" fillId="0" borderId="5" xfId="0" applyFont="1" applyBorder="1" applyAlignment="1">
      <alignment vertical="top" wrapText="1"/>
    </xf>
    <xf numFmtId="0" fontId="130" fillId="0" borderId="1" xfId="0" applyFont="1" applyBorder="1" applyAlignment="1">
      <alignment horizontal="left" vertical="top" wrapText="1"/>
    </xf>
    <xf numFmtId="0" fontId="129" fillId="0" borderId="1" xfId="0" applyFont="1" applyBorder="1" applyAlignment="1">
      <alignment vertical="top" wrapText="1"/>
    </xf>
    <xf numFmtId="0" fontId="134" fillId="0" borderId="1" xfId="0" applyFont="1" applyBorder="1" applyAlignment="1">
      <alignment vertical="top" wrapText="1"/>
    </xf>
    <xf numFmtId="0" fontId="135" fillId="0" borderId="1" xfId="0" applyFont="1" applyBorder="1" applyAlignment="1">
      <alignment vertical="top" wrapText="1"/>
    </xf>
    <xf numFmtId="0" fontId="26" fillId="0" borderId="1" xfId="0" applyFont="1" applyBorder="1" applyAlignment="1">
      <alignment vertical="top" wrapText="1"/>
    </xf>
    <xf numFmtId="0" fontId="104" fillId="0" borderId="0" xfId="1" applyFill="1" applyBorder="1" applyAlignment="1">
      <alignment vertical="top" wrapText="1"/>
    </xf>
    <xf numFmtId="0" fontId="130" fillId="0" borderId="1" xfId="0" applyFont="1" applyBorder="1" applyAlignment="1">
      <alignment vertical="top" wrapText="1"/>
    </xf>
    <xf numFmtId="0" fontId="137" fillId="0" borderId="2" xfId="0" applyFont="1" applyBorder="1" applyAlignment="1">
      <alignment vertical="top" wrapText="1"/>
    </xf>
    <xf numFmtId="0" fontId="138" fillId="0" borderId="1" xfId="0" applyFont="1" applyBorder="1" applyAlignment="1">
      <alignment horizontal="left" vertical="top" wrapText="1"/>
    </xf>
    <xf numFmtId="0" fontId="133" fillId="0" borderId="1" xfId="0" applyFont="1" applyBorder="1" applyAlignment="1">
      <alignment horizontal="left" vertical="top" wrapText="1"/>
    </xf>
    <xf numFmtId="0" fontId="133" fillId="0" borderId="1" xfId="0" applyFont="1" applyBorder="1" applyAlignment="1">
      <alignment vertical="top" wrapText="1"/>
    </xf>
    <xf numFmtId="0" fontId="26" fillId="0" borderId="0" xfId="0" applyFont="1" applyAlignment="1">
      <alignment vertical="top" wrapText="1"/>
    </xf>
    <xf numFmtId="0" fontId="26" fillId="0" borderId="1" xfId="0" applyFont="1" applyBorder="1" applyAlignment="1">
      <alignment horizontal="left" vertical="top" wrapText="1"/>
    </xf>
    <xf numFmtId="0" fontId="139" fillId="0" borderId="1" xfId="0" applyFont="1" applyBorder="1" applyAlignment="1">
      <alignment vertical="top" wrapText="1"/>
    </xf>
    <xf numFmtId="0" fontId="140" fillId="0" borderId="1" xfId="0" applyFont="1" applyBorder="1"/>
    <xf numFmtId="0" fontId="26" fillId="0" borderId="2" xfId="0" applyFont="1" applyBorder="1" applyAlignment="1">
      <alignment vertical="top" wrapText="1"/>
    </xf>
    <xf numFmtId="0" fontId="105" fillId="0" borderId="1" xfId="0" applyFont="1" applyBorder="1" applyAlignment="1">
      <alignment vertical="top" wrapText="1"/>
    </xf>
    <xf numFmtId="0" fontId="122" fillId="0" borderId="0" xfId="0" applyFont="1"/>
    <xf numFmtId="0" fontId="152" fillId="0" borderId="0" xfId="0" applyFont="1"/>
    <xf numFmtId="0" fontId="104" fillId="0" borderId="0" xfId="1"/>
  </cellXfs>
  <cellStyles count="3">
    <cellStyle name="Lien hypertexte" xfId="1" builtinId="8"/>
    <cellStyle name="Neutre"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allica.bnf.fr/ark:/12148/bpt6k6383830z/f304.item" TargetMode="External"/><Relationship Id="rId671" Type="http://schemas.openxmlformats.org/officeDocument/2006/relationships/hyperlink" Target="https://gallica.bnf.fr/ark:/12148/bpt6k6232209j/f188.item" TargetMode="External"/><Relationship Id="rId769" Type="http://schemas.openxmlformats.org/officeDocument/2006/relationships/hyperlink" Target="https://gallica.bnf.fr/ark:/12148/bpt6k6291558d/f170.item" TargetMode="External"/><Relationship Id="rId21" Type="http://schemas.openxmlformats.org/officeDocument/2006/relationships/hyperlink" Target="https://obvil.sorbonne-universite.fr/corpus/mercure-galant/MG-1678-02" TargetMode="External"/><Relationship Id="rId324" Type="http://schemas.openxmlformats.org/officeDocument/2006/relationships/hyperlink" Target="http://bases-iremus.huma-num.fr/directus-rar/admin/content/personnes/9f7e3294-4a5c-4896-8b95-9a63c33d15b5" TargetMode="External"/><Relationship Id="rId531" Type="http://schemas.openxmlformats.org/officeDocument/2006/relationships/hyperlink" Target="https://gallica.bnf.fr/ark:/12148/bpt6k1041715f/f343.item.zoom" TargetMode="External"/><Relationship Id="rId629" Type="http://schemas.openxmlformats.org/officeDocument/2006/relationships/hyperlink" Target="https://obvil.sorbonne-universite.fr/corpus/mercure-galant/MG-1692-04" TargetMode="External"/><Relationship Id="rId170" Type="http://schemas.openxmlformats.org/officeDocument/2006/relationships/hyperlink" Target="https://gallica.bnf.fr/ark:/12148/bpt6k4227057s/f293.item" TargetMode="External"/><Relationship Id="rId268" Type="http://schemas.openxmlformats.org/officeDocument/2006/relationships/hyperlink" Target="http://bases-iremus.huma-num.fr/directus-rar/admin/content/personnes/9f7e3294-4a5c-4896-8b95-9a63c33d15b5" TargetMode="External"/><Relationship Id="rId475" Type="http://schemas.openxmlformats.org/officeDocument/2006/relationships/hyperlink" Target="https://gallica.bnf.fr/ark:/12148/bpt6k62275998/f250.item" TargetMode="External"/><Relationship Id="rId682" Type="http://schemas.openxmlformats.org/officeDocument/2006/relationships/hyperlink" Target="https://gallica.bnf.fr/ark:/12148/bpt6k6299675r/f191.item" TargetMode="External"/><Relationship Id="rId32" Type="http://schemas.openxmlformats.org/officeDocument/2006/relationships/hyperlink" Target="http://bases-iremus.huma-num.fr/directus-rar/admin/content/personnes/67d8e548-75c3-4e0e-8a82-a7eee418d343" TargetMode="External"/><Relationship Id="rId128" Type="http://schemas.openxmlformats.org/officeDocument/2006/relationships/hyperlink" Target="https://gallica.bnf.fr/ark:/12148/bpt6k115291w/f394.item" TargetMode="External"/><Relationship Id="rId335" Type="http://schemas.openxmlformats.org/officeDocument/2006/relationships/hyperlink" Target="https://gallica.bnf.fr/ark:/12148/bpt6k6218413f/f189.item" TargetMode="External"/><Relationship Id="rId542" Type="http://schemas.openxmlformats.org/officeDocument/2006/relationships/hyperlink" Target="https://gallica.bnf.fr/ark:/12148/bpt6k1041715f/f427.item.zoom" TargetMode="External"/><Relationship Id="rId181" Type="http://schemas.openxmlformats.org/officeDocument/2006/relationships/hyperlink" Target="https://gallica.bnf.fr/ark:/12148/bpt6k6225207c/f356.item" TargetMode="External"/><Relationship Id="rId402" Type="http://schemas.openxmlformats.org/officeDocument/2006/relationships/hyperlink" Target="https://gallica.bnf.fr/ark:/12148/bpt6k1163382/f371.item" TargetMode="External"/><Relationship Id="rId279" Type="http://schemas.openxmlformats.org/officeDocument/2006/relationships/hyperlink" Target="http://bases-iremus.huma-num.fr/directus-rar/admin/content/personnes/9f7e3294-4a5c-4896-8b95-9a63c33d15b5" TargetMode="External"/><Relationship Id="rId486" Type="http://schemas.openxmlformats.org/officeDocument/2006/relationships/hyperlink" Target="https://gallica.bnf.fr/ark:/12148/bpt6k6260680f/f323.item" TargetMode="External"/><Relationship Id="rId693" Type="http://schemas.openxmlformats.org/officeDocument/2006/relationships/hyperlink" Target="http://bases-iremus.huma-num.fr/directus-rar/admin/content/personnes/69c20264-52ea-4566-a815-7123844fac19" TargetMode="External"/><Relationship Id="rId707" Type="http://schemas.openxmlformats.org/officeDocument/2006/relationships/hyperlink" Target="https://gallica.bnf.fr/ark:/12148/bpt6k63021353/f284.item" TargetMode="External"/><Relationship Id="rId43" Type="http://schemas.openxmlformats.org/officeDocument/2006/relationships/hyperlink" Target="https://opentheso5.mom.fr/opentheso5/?idc=berain_jean_(1640-1711)&amp;idt=25" TargetMode="External"/><Relationship Id="rId139" Type="http://schemas.openxmlformats.org/officeDocument/2006/relationships/hyperlink" Target="https://gallica.bnf.fr/ark:/12148/bpt6k1152928/f301.item" TargetMode="External"/><Relationship Id="rId346" Type="http://schemas.openxmlformats.org/officeDocument/2006/relationships/hyperlink" Target="https://www.parismuseescollections.paris.fr/ru/recherche/type/oeuvre/ET/auteur/Meunier%20ou%20Meusnier%20ou%20Musnier%2C%20Louis" TargetMode="External"/><Relationship Id="rId553" Type="http://schemas.openxmlformats.org/officeDocument/2006/relationships/hyperlink" Target="https://gallica.bnf.fr/ark:/12148/bpt6k62592061/f250.item" TargetMode="External"/><Relationship Id="rId760" Type="http://schemas.openxmlformats.org/officeDocument/2006/relationships/hyperlink" Target="https://obvil.sorbonne-universite.fr/corpus/mercure-galant/MG-1703-02" TargetMode="External"/><Relationship Id="rId192" Type="http://schemas.openxmlformats.org/officeDocument/2006/relationships/hyperlink" Target="https://obvil.sorbonne-universite.fr/corpus/mercure-galant/MG-1679-09" TargetMode="External"/><Relationship Id="rId206" Type="http://schemas.openxmlformats.org/officeDocument/2006/relationships/hyperlink" Target="https://opentheso5.mom.fr/opentheso5/?idc=berain_jean_(1640-1711)&amp;idt=25" TargetMode="External"/><Relationship Id="rId413" Type="http://schemas.openxmlformats.org/officeDocument/2006/relationships/hyperlink" Target="https://obvil.sorbonne-universite.fr/corpus/mercure-galant/MG-1682-12" TargetMode="External"/><Relationship Id="rId497" Type="http://schemas.openxmlformats.org/officeDocument/2006/relationships/hyperlink" Target="https://obvil.sorbonne-universite.fr/corpus/mercure-galant/MG-1686-02b" TargetMode="External"/><Relationship Id="rId620" Type="http://schemas.openxmlformats.org/officeDocument/2006/relationships/hyperlink" Target="http://bases-iremus.huma-num.fr/directus-rar/admin/content/personnes/e2dbb2a6-12b1-465c-b0a0-471c82625b20" TargetMode="External"/><Relationship Id="rId718" Type="http://schemas.openxmlformats.org/officeDocument/2006/relationships/hyperlink" Target="https://gallica.bnf.fr/ark:/12148/bpt6k62483521/f237.item" TargetMode="External"/><Relationship Id="rId357" Type="http://schemas.openxmlformats.org/officeDocument/2006/relationships/hyperlink" Target="https://gallica.bnf.fr/ark:/12148/bpt6k62281306/f54.item" TargetMode="External"/><Relationship Id="rId54" Type="http://schemas.openxmlformats.org/officeDocument/2006/relationships/hyperlink" Target="https://obvil.sorbonne-universite.fr/corpus/mercure-galant/MG-1678-04" TargetMode="External"/><Relationship Id="rId217" Type="http://schemas.openxmlformats.org/officeDocument/2006/relationships/hyperlink" Target="https://gallica.bnf.fr/ark:/12148/bpt6k62222098/f364.item" TargetMode="External"/><Relationship Id="rId564" Type="http://schemas.openxmlformats.org/officeDocument/2006/relationships/hyperlink" Target="https://gallica.bnf.fr/ark:/12148/bpt6k6278097d/f127.item" TargetMode="External"/><Relationship Id="rId771" Type="http://schemas.openxmlformats.org/officeDocument/2006/relationships/hyperlink" Target="https://gallica.bnf.fr/ark:/12148/bpt6k6517210x/f299.item" TargetMode="External"/><Relationship Id="rId424" Type="http://schemas.openxmlformats.org/officeDocument/2006/relationships/hyperlink" Target="https://gallica.bnf.fr/ark:/12148/bpt6k65171963/f178.item" TargetMode="External"/><Relationship Id="rId631" Type="http://schemas.openxmlformats.org/officeDocument/2006/relationships/hyperlink" Target="https://obvil.sorbonne-universite.fr/corpus/mercure-galant/MG-1692-05" TargetMode="External"/><Relationship Id="rId729" Type="http://schemas.openxmlformats.org/officeDocument/2006/relationships/hyperlink" Target="https://gallica.bnf.fr/ark:/12148/bpt6k62593301/f212.item" TargetMode="External"/><Relationship Id="rId270" Type="http://schemas.openxmlformats.org/officeDocument/2006/relationships/hyperlink" Target="https://gallica.bnf.fr/ark:/12148/bpt6k62986385/f274.item" TargetMode="External"/><Relationship Id="rId65" Type="http://schemas.openxmlformats.org/officeDocument/2006/relationships/hyperlink" Target="https://gallica.bnf.fr/ark:/12148/bpt6k1204477t/f150.item" TargetMode="External"/><Relationship Id="rId130" Type="http://schemas.openxmlformats.org/officeDocument/2006/relationships/hyperlink" Target="https://obvil.sorbonne-universite.fr/corpus/mercure-galant/MG-1678-03" TargetMode="External"/><Relationship Id="rId368" Type="http://schemas.openxmlformats.org/officeDocument/2006/relationships/hyperlink" Target="https://gallica.bnf.fr/ark:/12148/bpt6k6517214k/f335.item" TargetMode="External"/><Relationship Id="rId575" Type="http://schemas.openxmlformats.org/officeDocument/2006/relationships/hyperlink" Target="https://gallica.bnf.fr/ark:/12148/bpt6k6334267v/f247.item" TargetMode="External"/><Relationship Id="rId782" Type="http://schemas.openxmlformats.org/officeDocument/2006/relationships/hyperlink" Target="https://gallica.bnf.fr/ark:/12148/bpt6k6293108r/f330.item" TargetMode="External"/><Relationship Id="rId228" Type="http://schemas.openxmlformats.org/officeDocument/2006/relationships/hyperlink" Target="https://www.parismuseescollections.paris.fr/fr/petit-palais/oeuvres/vues-d-espagne-vues-de-tolede-palais-royal-de-tolede-dutuit-page-12-robert" TargetMode="External"/><Relationship Id="rId435" Type="http://schemas.openxmlformats.org/officeDocument/2006/relationships/hyperlink" Target="https://gallica.bnf.fr/ark:/12148/bpt6k62208141/f199.item" TargetMode="External"/><Relationship Id="rId642" Type="http://schemas.openxmlformats.org/officeDocument/2006/relationships/hyperlink" Target="https://gallica.bnf.fr/ark:/12148/bpt6k1041715f/f505.item.zoom" TargetMode="External"/><Relationship Id="rId281" Type="http://schemas.openxmlformats.org/officeDocument/2006/relationships/hyperlink" Target="https://gallica.bnf.fr/ark:/12148/bpt6k6222726h/f181.item" TargetMode="External"/><Relationship Id="rId502" Type="http://schemas.openxmlformats.org/officeDocument/2006/relationships/hyperlink" Target="https://gallica.bnf.fr/ark:/12148/bpt6k6225952m/f275.item" TargetMode="External"/><Relationship Id="rId76" Type="http://schemas.openxmlformats.org/officeDocument/2006/relationships/hyperlink" Target="http://bases-iremus.huma-num.fr/directus-rar/admin/content/personnes/67d8e548-75c3-4e0e-8a82-a7eee418d343" TargetMode="External"/><Relationship Id="rId141" Type="http://schemas.openxmlformats.org/officeDocument/2006/relationships/hyperlink" Target="https://obvil.sorbonne-universite.fr/corpus/mercure-galant/MG-1679-01" TargetMode="External"/><Relationship Id="rId379" Type="http://schemas.openxmlformats.org/officeDocument/2006/relationships/hyperlink" Target="https://gallica.bnf.fr/ark:/12148/bpt6k62214532/f20.item" TargetMode="External"/><Relationship Id="rId586" Type="http://schemas.openxmlformats.org/officeDocument/2006/relationships/hyperlink" Target="https://gallica.bnf.fr/ark:/12148/bpt6k6228302k/f214.item" TargetMode="External"/><Relationship Id="rId793" Type="http://schemas.openxmlformats.org/officeDocument/2006/relationships/comments" Target="../comments1.xml"/><Relationship Id="rId7" Type="http://schemas.openxmlformats.org/officeDocument/2006/relationships/hyperlink" Target="https://catalogue.bnf.fr/ark:/12148/cb44565755j." TargetMode="External"/><Relationship Id="rId239" Type="http://schemas.openxmlformats.org/officeDocument/2006/relationships/hyperlink" Target="https://obvil.sorbonne-universite.fr/corpus/mercure-galant/MG-1680-03b" TargetMode="External"/><Relationship Id="rId446" Type="http://schemas.openxmlformats.org/officeDocument/2006/relationships/hyperlink" Target="http://bases-iremus.huma-num.fr/directus-rar/admin/content/personnes/9f7e3294-4a5c-4896-8b95-9a63c33d15b5" TargetMode="External"/><Relationship Id="rId653" Type="http://schemas.openxmlformats.org/officeDocument/2006/relationships/hyperlink" Target="https://gallica.bnf.fr/ark:/12148/bpt6k6260062f/f314.item" TargetMode="External"/><Relationship Id="rId292" Type="http://schemas.openxmlformats.org/officeDocument/2006/relationships/hyperlink" Target="https://gallica.bnf.fr/ark:/12148/bpt6k6373219k/f199.item" TargetMode="External"/><Relationship Id="rId306" Type="http://schemas.openxmlformats.org/officeDocument/2006/relationships/hyperlink" Target="https://www.parismuseescollections.paris.fr/ru/recherche/type/oeuvre/ET/auteur/Meunier%20ou%20Meusnier%20ou%20Musnier%2C%20Louis" TargetMode="External"/><Relationship Id="rId87" Type="http://schemas.openxmlformats.org/officeDocument/2006/relationships/hyperlink" Target="https://obvil.sorbonne-universite.fr/corpus/mercure-galant/MG-1678-06" TargetMode="External"/><Relationship Id="rId513" Type="http://schemas.openxmlformats.org/officeDocument/2006/relationships/hyperlink" Target="https://gallica.bnf.fr/ark:/12148/btv1b84067166" TargetMode="External"/><Relationship Id="rId597" Type="http://schemas.openxmlformats.org/officeDocument/2006/relationships/hyperlink" Target="http://bases-iremus.huma-num.fr/directus-rar/admin/content/personnes/e2dbb2a6-12b1-465c-b0a0-471c82625b20" TargetMode="External"/><Relationship Id="rId720" Type="http://schemas.openxmlformats.org/officeDocument/2006/relationships/hyperlink" Target="https://gallica.bnf.fr/ark:/12148/bpt6k6260679s/f167.item" TargetMode="External"/><Relationship Id="rId152" Type="http://schemas.openxmlformats.org/officeDocument/2006/relationships/hyperlink" Target="https://gallica.bnf.fr/ark:/12148/bpt6k4227068k/f327.item" TargetMode="External"/><Relationship Id="rId457" Type="http://schemas.openxmlformats.org/officeDocument/2006/relationships/hyperlink" Target="https://gallica.bnf.fr/ark:/12148/bpt6k6229737g/f284.item" TargetMode="External"/><Relationship Id="rId664" Type="http://schemas.openxmlformats.org/officeDocument/2006/relationships/hyperlink" Target="https://gallica.bnf.fr/ark:/12148/bpt6k1041715f/f483.item.zoom" TargetMode="External"/><Relationship Id="rId14" Type="http://schemas.openxmlformats.org/officeDocument/2006/relationships/hyperlink" Target="https://gallica.bnf.fr/ark:/12148/bpt6k4226928v/f288.item" TargetMode="External"/><Relationship Id="rId317" Type="http://schemas.openxmlformats.org/officeDocument/2006/relationships/hyperlink" Target="http://bases-iremus.huma-num.fr/directus-rar/admin/content/personnes/9f7e3294-4a5c-4896-8b95-9a63c33d15b5" TargetMode="External"/><Relationship Id="rId524" Type="http://schemas.openxmlformats.org/officeDocument/2006/relationships/hyperlink" Target="https://gallica.bnf.fr/ark:/12148/bpt6k6258715d/f283.item" TargetMode="External"/><Relationship Id="rId731" Type="http://schemas.openxmlformats.org/officeDocument/2006/relationships/hyperlink" Target="https://gallica.bnf.fr/ark:/12148/bpt6k6297695w/f94.item" TargetMode="External"/><Relationship Id="rId98" Type="http://schemas.openxmlformats.org/officeDocument/2006/relationships/hyperlink" Target="https://obvil.sorbonne-universite.fr/corpus/mercure-galant/MG-1678-07" TargetMode="External"/><Relationship Id="rId163" Type="http://schemas.openxmlformats.org/officeDocument/2006/relationships/hyperlink" Target="https://gallica.bnf.fr/ark:/12148/bpt6k6373444b/f7.item" TargetMode="External"/><Relationship Id="rId370" Type="http://schemas.openxmlformats.org/officeDocument/2006/relationships/hyperlink" Target="https://gallica.bnf.fr/ark:/12148/bpt6k62624915/f86.item" TargetMode="External"/><Relationship Id="rId230" Type="http://schemas.openxmlformats.org/officeDocument/2006/relationships/hyperlink" Target="https://obvil.sorbonne-universite.fr/corpus/mercure-galant/MG-1680-02" TargetMode="External"/><Relationship Id="rId468" Type="http://schemas.openxmlformats.org/officeDocument/2006/relationships/hyperlink" Target="https://catalogue.bnf.fr/ark:/12148/cb41505349v" TargetMode="External"/><Relationship Id="rId675" Type="http://schemas.openxmlformats.org/officeDocument/2006/relationships/hyperlink" Target="https://gallica.bnf.fr/ark:/12148/bpt6k6279305h/f233.item" TargetMode="External"/><Relationship Id="rId25" Type="http://schemas.openxmlformats.org/officeDocument/2006/relationships/hyperlink" Target="https://catalogue.bnf.fr/ark:/12148/cb40639542m" TargetMode="External"/><Relationship Id="rId328" Type="http://schemas.openxmlformats.org/officeDocument/2006/relationships/hyperlink" Target="https://gallica.bnf.fr/ark:/12148/bpt6k6269562z/f192.item" TargetMode="External"/><Relationship Id="rId535" Type="http://schemas.openxmlformats.org/officeDocument/2006/relationships/hyperlink" Target="https://gallica.bnf.fr/ark:/12148/bpt6k6274596g/f235.item" TargetMode="External"/><Relationship Id="rId742" Type="http://schemas.openxmlformats.org/officeDocument/2006/relationships/hyperlink" Target="https://gallica.bnf.fr/ark:/12148/bpt6k62706651/f177.item" TargetMode="External"/><Relationship Id="rId174" Type="http://schemas.openxmlformats.org/officeDocument/2006/relationships/hyperlink" Target="https://gallica.bnf.fr/ark:/12148/bpt6k6227265f/f323.item" TargetMode="External"/><Relationship Id="rId381" Type="http://schemas.openxmlformats.org/officeDocument/2006/relationships/hyperlink" Target="https://obvil.sorbonne-universite.fr/corpus/mercure-galant/MG-1682-05" TargetMode="External"/><Relationship Id="rId602" Type="http://schemas.openxmlformats.org/officeDocument/2006/relationships/hyperlink" Target="https://gallica.bnf.fr/ark:/12148/bpt6k6248453s/f182.item" TargetMode="External"/><Relationship Id="rId241" Type="http://schemas.openxmlformats.org/officeDocument/2006/relationships/hyperlink" Target="https://gallica.bnf.fr/ark:/12148/bpt6k6216337w/f244.item" TargetMode="External"/><Relationship Id="rId479" Type="http://schemas.openxmlformats.org/officeDocument/2006/relationships/hyperlink" Target="https://gallica.bnf.fr/ark:/12148/bpt6k6227646g/f196.item" TargetMode="External"/><Relationship Id="rId686" Type="http://schemas.openxmlformats.org/officeDocument/2006/relationships/hyperlink" Target="https://gallica.bnf.fr/ark:/12148/bpt6k6261514d/f56.item" TargetMode="External"/><Relationship Id="rId36" Type="http://schemas.openxmlformats.org/officeDocument/2006/relationships/hyperlink" Target="https://opentheso5.mom.fr/opentheso5/?idc=berain_jean_(1640-1711)&amp;idt=25" TargetMode="External"/><Relationship Id="rId339" Type="http://schemas.openxmlformats.org/officeDocument/2006/relationships/hyperlink" Target="https://gallica.bnf.fr/ark:/12148/bpt6k6517241g/f94.item" TargetMode="External"/><Relationship Id="rId546" Type="http://schemas.openxmlformats.org/officeDocument/2006/relationships/hyperlink" Target="https://obvil.sorbonne-universite.fr/corpus/mercure-galant/MG-1688-06a" TargetMode="External"/><Relationship Id="rId753" Type="http://schemas.openxmlformats.org/officeDocument/2006/relationships/hyperlink" Target="http://bases-iremus.huma-num.fr/directus-rar/admin/content/personnes/69c20264-52ea-4566-a815-7123844fac19" TargetMode="External"/><Relationship Id="rId101" Type="http://schemas.openxmlformats.org/officeDocument/2006/relationships/hyperlink" Target="https://gallica.bnf.fr/ark:/12148/bpt6k115290h/f356.item" TargetMode="External"/><Relationship Id="rId185" Type="http://schemas.openxmlformats.org/officeDocument/2006/relationships/hyperlink" Target="https://gallica.bnf.fr/ark:/12148/bpt6k6219069r/f181.item" TargetMode="External"/><Relationship Id="rId406" Type="http://schemas.openxmlformats.org/officeDocument/2006/relationships/hyperlink" Target="https://catalogue.bnf.fr/ark:/12148/cb40750232w" TargetMode="External"/><Relationship Id="rId392" Type="http://schemas.openxmlformats.org/officeDocument/2006/relationships/hyperlink" Target="https://obvil.sorbonne-universite.fr/corpus/mercure-galant/MG-1682-08" TargetMode="External"/><Relationship Id="rId613" Type="http://schemas.openxmlformats.org/officeDocument/2006/relationships/hyperlink" Target="https://gallica.bnf.fr/ark:/12148/bpt6k6261188b/f183.item" TargetMode="External"/><Relationship Id="rId697" Type="http://schemas.openxmlformats.org/officeDocument/2006/relationships/hyperlink" Target="https://gallica.bnf.fr/ark:/12148/bpt6k6259306c/f90.item" TargetMode="External"/><Relationship Id="rId252" Type="http://schemas.openxmlformats.org/officeDocument/2006/relationships/hyperlink" Target="https://obvil.sorbonne-universite.fr/corpus/mercure-galant/MG-1680-05" TargetMode="External"/><Relationship Id="rId47" Type="http://schemas.openxmlformats.org/officeDocument/2006/relationships/hyperlink" Target="https://gallica.bnf.fr/ark:/12148/btv1b10537826x" TargetMode="External"/><Relationship Id="rId112" Type="http://schemas.openxmlformats.org/officeDocument/2006/relationships/hyperlink" Target="https://obvil.sorbonne-universite.fr/corpus/mercure-galant/MG-1678-09e" TargetMode="External"/><Relationship Id="rId557" Type="http://schemas.openxmlformats.org/officeDocument/2006/relationships/hyperlink" Target="https://gallica.bnf.fr/ark:/12148/bpt6k6257717x/f230.item" TargetMode="External"/><Relationship Id="rId764" Type="http://schemas.openxmlformats.org/officeDocument/2006/relationships/hyperlink" Target="https://gallica.bnf.fr/ark:/12148/bpt6k6279317q/f222.item" TargetMode="External"/><Relationship Id="rId196" Type="http://schemas.openxmlformats.org/officeDocument/2006/relationships/hyperlink" Target="http://bases-iremus.huma-num.fr/directus-rar/admin/content/personnes/dd472c65-6980-4431-bf1e-cab567de2130" TargetMode="External"/><Relationship Id="rId417" Type="http://schemas.openxmlformats.org/officeDocument/2006/relationships/hyperlink" Target="https://www.parismuseescollections.paris.fr/fr/petit-palais/oeuvres/vues-d-espagne-vues-de-tolede-palais-royal-de-tolede-dutuit-page-12-robert" TargetMode="External"/><Relationship Id="rId624" Type="http://schemas.openxmlformats.org/officeDocument/2006/relationships/hyperlink" Target="https://gallica.bnf.fr/ark:/12148/bpt6k6228530k/f292.item" TargetMode="External"/><Relationship Id="rId263" Type="http://schemas.openxmlformats.org/officeDocument/2006/relationships/hyperlink" Target="https://obvil.sorbonne-universite.fr/corpus/mercure-galant/MG-1680-07" TargetMode="External"/><Relationship Id="rId470" Type="http://schemas.openxmlformats.org/officeDocument/2006/relationships/hyperlink" Target="https://gallica.bnf.fr/ark:/12148/bpt6k6218225z/f218.item" TargetMode="External"/><Relationship Id="rId58" Type="http://schemas.openxmlformats.org/officeDocument/2006/relationships/hyperlink" Target="https://obvil.sorbonne-universite.fr/corpus/mercure-galant/MG-1678-03" TargetMode="External"/><Relationship Id="rId123" Type="http://schemas.openxmlformats.org/officeDocument/2006/relationships/hyperlink" Target="https://catalogue.bnf.fr/ark:/12148/cb415040620" TargetMode="External"/><Relationship Id="rId330" Type="http://schemas.openxmlformats.org/officeDocument/2006/relationships/hyperlink" Target="https://gallica.bnf.fr/ark:/12148/bpt6k6269562z/f209.item" TargetMode="External"/><Relationship Id="rId568" Type="http://schemas.openxmlformats.org/officeDocument/2006/relationships/hyperlink" Target="https://gallica.bnf.fr/ark:/12148/bpt6k6220863h/f258.item" TargetMode="External"/><Relationship Id="rId775" Type="http://schemas.openxmlformats.org/officeDocument/2006/relationships/hyperlink" Target="https://obvil.sorbonne-universite.fr/corpus/mercure-galant/MG-1707-01" TargetMode="External"/><Relationship Id="rId428" Type="http://schemas.openxmlformats.org/officeDocument/2006/relationships/hyperlink" Target="https://obvil.sorbonne-universite.fr/corpus/mercure-galant/MG-1683-04" TargetMode="External"/><Relationship Id="rId635" Type="http://schemas.openxmlformats.org/officeDocument/2006/relationships/hyperlink" Target="https://gallica.bnf.fr/ark:/12148/bpt6k6319342c/f274.item" TargetMode="External"/><Relationship Id="rId274" Type="http://schemas.openxmlformats.org/officeDocument/2006/relationships/hyperlink" Target="https://gallica.bnf.fr/ark:/12148/bpt6k6372016b/f203.item" TargetMode="External"/><Relationship Id="rId481" Type="http://schemas.openxmlformats.org/officeDocument/2006/relationships/hyperlink" Target="http://journals.openedition.org/estampe/1370" TargetMode="External"/><Relationship Id="rId702" Type="http://schemas.openxmlformats.org/officeDocument/2006/relationships/hyperlink" Target="http://bases-iremus.huma-num.fr/directus-rar/admin/content/personnes/69c20264-52ea-4566-a815-7123844fac19" TargetMode="External"/><Relationship Id="rId69" Type="http://schemas.openxmlformats.org/officeDocument/2006/relationships/hyperlink" Target="https://opentheso3.mom.fr/opentheso3/?idc=2052&amp;idt=43" TargetMode="External"/><Relationship Id="rId134" Type="http://schemas.openxmlformats.org/officeDocument/2006/relationships/hyperlink" Target="https://obvil.sorbonne-universite.fr/corpus/mercure-galant/MG-1678-11" TargetMode="External"/><Relationship Id="rId579" Type="http://schemas.openxmlformats.org/officeDocument/2006/relationships/hyperlink" Target="https://gallica.bnf.fr/ark:/12148/bpt6k6261473x/f321.item" TargetMode="External"/><Relationship Id="rId786" Type="http://schemas.openxmlformats.org/officeDocument/2006/relationships/hyperlink" Target="https://gallica.bnf.fr/ark:/12148/bpt6k63084172/f201.item" TargetMode="External"/><Relationship Id="rId341" Type="http://schemas.openxmlformats.org/officeDocument/2006/relationships/hyperlink" Target="https://gallica.bnf.fr/ark:/12148/bpt6k6228808s/f72.item" TargetMode="External"/><Relationship Id="rId439" Type="http://schemas.openxmlformats.org/officeDocument/2006/relationships/hyperlink" Target="https://gallica.bnf.fr/ark:/12148/bpt6k62253818/f315.item" TargetMode="External"/><Relationship Id="rId646" Type="http://schemas.openxmlformats.org/officeDocument/2006/relationships/hyperlink" Target="https://gallica.bnf.fr/ark:/12148/bpt6k6542717t/f193.item" TargetMode="External"/><Relationship Id="rId201" Type="http://schemas.openxmlformats.org/officeDocument/2006/relationships/hyperlink" Target="https://obvil.sorbonne-universite.fr/corpus/mercure-galant/MG-1679-09e" TargetMode="External"/><Relationship Id="rId285" Type="http://schemas.openxmlformats.org/officeDocument/2006/relationships/hyperlink" Target="https://gallica.bnf.fr/ark:/12148/bpt6k6220868k/f285.item" TargetMode="External"/><Relationship Id="rId506" Type="http://schemas.openxmlformats.org/officeDocument/2006/relationships/hyperlink" Target="https://obvil.sorbonne-universite.fr/corpus/mercure-galant/MG-1686-06" TargetMode="External"/><Relationship Id="rId492" Type="http://schemas.openxmlformats.org/officeDocument/2006/relationships/hyperlink" Target="https://gallica.bnf.fr/ark:/12148/bpt6k63728556/f288.item" TargetMode="External"/><Relationship Id="rId713" Type="http://schemas.openxmlformats.org/officeDocument/2006/relationships/hyperlink" Target="https://collections.louvre.fr/en/ark:/53355/cl010443216" TargetMode="External"/><Relationship Id="rId145" Type="http://schemas.openxmlformats.org/officeDocument/2006/relationships/hyperlink" Target="https://gallica.bnf.fr/ark:/12148/bpt6k6373165g/f163.item" TargetMode="External"/><Relationship Id="rId352" Type="http://schemas.openxmlformats.org/officeDocument/2006/relationships/hyperlink" Target="https://gallica.bnf.fr/ark:/12148/bpt6k6220545j/f219.item" TargetMode="External"/><Relationship Id="rId212" Type="http://schemas.openxmlformats.org/officeDocument/2006/relationships/hyperlink" Target="https://gallica.bnf.fr/ark:/12148/bpt6k6218372z/f186.item" TargetMode="External"/><Relationship Id="rId657" Type="http://schemas.openxmlformats.org/officeDocument/2006/relationships/hyperlink" Target="https://www.google.fr/books/edition/Medailles_sur_les_principaux_evenements/TphMAAAAcAAJ?hl=fr&amp;gbpv=1&amp;dq=Ab.+Austro.+Et.+Ab.Aquilone.m%C3%A9daille&amp;pg=PA475&amp;printsec=frontcover" TargetMode="External"/><Relationship Id="rId296" Type="http://schemas.openxmlformats.org/officeDocument/2006/relationships/hyperlink" Target="https://gallica.bnf.fr/ark:/12148/bpt6k6373219k/f282.item" TargetMode="External"/><Relationship Id="rId517" Type="http://schemas.openxmlformats.org/officeDocument/2006/relationships/hyperlink" Target="https://gallica.bnf.fr/ark:/12148/btv1b52512203f" TargetMode="External"/><Relationship Id="rId724" Type="http://schemas.openxmlformats.org/officeDocument/2006/relationships/hyperlink" Target="https://gallica.bnf.fr/ark:/12148/bpt6k62588180/f283.item" TargetMode="External"/><Relationship Id="rId60" Type="http://schemas.openxmlformats.org/officeDocument/2006/relationships/hyperlink" Target="https://obvil.sorbonne-universite.fr/corpus/mercure-galant/MG-1678-04" TargetMode="External"/><Relationship Id="rId156" Type="http://schemas.openxmlformats.org/officeDocument/2006/relationships/hyperlink" Target="https://obvil.sorbonne-universite.fr/corpus/mercure-galant/MG-1679-02" TargetMode="External"/><Relationship Id="rId363" Type="http://schemas.openxmlformats.org/officeDocument/2006/relationships/hyperlink" Target="https://gallica.bnf.fr/ark:/12148/bpt6k6258812h/f60.item" TargetMode="External"/><Relationship Id="rId570" Type="http://schemas.openxmlformats.org/officeDocument/2006/relationships/hyperlink" Target="http://bases-iremus.huma-num.fr/directus-rar/admin/content/personnes/4822e333-ae92-43c7-b54f-ce7869891404" TargetMode="External"/><Relationship Id="rId223" Type="http://schemas.openxmlformats.org/officeDocument/2006/relationships/hyperlink" Target="http://bases-iremus.huma-num.fr/directus-rar/admin/content/personnes/7311ed00-e1e3-43f4-a508-f0e96c8a60a2" TargetMode="External"/><Relationship Id="rId430" Type="http://schemas.openxmlformats.org/officeDocument/2006/relationships/hyperlink" Target="https://opentheso5.mom.fr/opentheso5/?idc=berain_jean_(1640-1711)&amp;idt=25" TargetMode="External"/><Relationship Id="rId668" Type="http://schemas.openxmlformats.org/officeDocument/2006/relationships/hyperlink" Target="https://gallica.bnf.fr/ark:/12148/bpt6k6317583c/f118.item" TargetMode="External"/><Relationship Id="rId18" Type="http://schemas.openxmlformats.org/officeDocument/2006/relationships/hyperlink" Target="https://obvil.sorbonne-universite.fr/corpus/mercure-galant/MG-1678-02" TargetMode="External"/><Relationship Id="rId528" Type="http://schemas.openxmlformats.org/officeDocument/2006/relationships/hyperlink" Target="https://gallica.bnf.fr/ark:/12148/bpt6k1041715f/f431.item.zoom" TargetMode="External"/><Relationship Id="rId735" Type="http://schemas.openxmlformats.org/officeDocument/2006/relationships/hyperlink" Target="https://gallica.bnf.fr/ark:/12148/bpt6k6270464x/f221.item" TargetMode="External"/><Relationship Id="rId167" Type="http://schemas.openxmlformats.org/officeDocument/2006/relationships/hyperlink" Target="https://gallica.bnf.fr/ark:/12148/bpt6k6373444b/f311.item" TargetMode="External"/><Relationship Id="rId374" Type="http://schemas.openxmlformats.org/officeDocument/2006/relationships/hyperlink" Target="http://bases-iremus.huma-num.fr/directus-rar/admin/content/personnes/9f7e3294-4a5c-4896-8b95-9a63c33d15b5" TargetMode="External"/><Relationship Id="rId581" Type="http://schemas.openxmlformats.org/officeDocument/2006/relationships/hyperlink" Target="https://gallica.bnf.fr/ark:/12148/bpt6k6221912v/f237.item" TargetMode="External"/><Relationship Id="rId71" Type="http://schemas.openxmlformats.org/officeDocument/2006/relationships/hyperlink" Target="https://gallica.bnf.fr/ark:/12148/bpt6k1204477t/f316.item" TargetMode="External"/><Relationship Id="rId234" Type="http://schemas.openxmlformats.org/officeDocument/2006/relationships/hyperlink" Target="https://gallica.bnf.fr/ark:/12148/bpt6k6220151w/f359.item" TargetMode="External"/><Relationship Id="rId679" Type="http://schemas.openxmlformats.org/officeDocument/2006/relationships/hyperlink" Target="https://gallica.bnf.fr/ark:/12148/bpt6k6257749w/f263.item" TargetMode="External"/><Relationship Id="rId2" Type="http://schemas.openxmlformats.org/officeDocument/2006/relationships/hyperlink" Target="https://gallica.bnf.fr/ark:/12148/bpt6k1524036s/f244.item" TargetMode="External"/><Relationship Id="rId29" Type="http://schemas.openxmlformats.org/officeDocument/2006/relationships/hyperlink" Target="https://gallica.bnf.fr/ark:/12148/btv1b525141207/f72.item.zoom" TargetMode="External"/><Relationship Id="rId441" Type="http://schemas.openxmlformats.org/officeDocument/2006/relationships/hyperlink" Target="https://gallica.bnf.fr/ark:/12148/bpt6k62259531/f365.item" TargetMode="External"/><Relationship Id="rId539" Type="http://schemas.openxmlformats.org/officeDocument/2006/relationships/hyperlink" Target="https://obvil.sorbonne-universite.fr/corpus/mercure-galant/MG-1688-02" TargetMode="External"/><Relationship Id="rId746" Type="http://schemas.openxmlformats.org/officeDocument/2006/relationships/hyperlink" Target="https://gallica.bnf.fr/ark:/12148/bpt6k6266162n/f129.item" TargetMode="External"/><Relationship Id="rId178" Type="http://schemas.openxmlformats.org/officeDocument/2006/relationships/hyperlink" Target="https://gallica.bnf.fr/ark:/12148/bpt6k6225207c/f319.item" TargetMode="External"/><Relationship Id="rId301" Type="http://schemas.openxmlformats.org/officeDocument/2006/relationships/hyperlink" Target="https://gallica.bnf.fr/ark:/12148/bpt6k6218374s/f299.item" TargetMode="External"/><Relationship Id="rId82" Type="http://schemas.openxmlformats.org/officeDocument/2006/relationships/hyperlink" Target="https://obvil.sorbonne-universite.fr/corpus/mercure-galant/MG-1678-05" TargetMode="External"/><Relationship Id="rId385" Type="http://schemas.openxmlformats.org/officeDocument/2006/relationships/hyperlink" Target="https://gallica.bnf.fr/ark:/12148/bpt6k6224583g/f186.item" TargetMode="External"/><Relationship Id="rId592" Type="http://schemas.openxmlformats.org/officeDocument/2006/relationships/hyperlink" Target="https://www.britishmuseum.org/collection/object/C_M-2345" TargetMode="External"/><Relationship Id="rId606" Type="http://schemas.openxmlformats.org/officeDocument/2006/relationships/hyperlink" Target="https://gallica.bnf.fr/ark:/12148/bpt6k6485064v/f139.item" TargetMode="External"/><Relationship Id="rId245" Type="http://schemas.openxmlformats.org/officeDocument/2006/relationships/hyperlink" Target="https://gallica.bnf.fr/ark:/12148/bpt6k6371918z/f377.item" TargetMode="External"/><Relationship Id="rId452" Type="http://schemas.openxmlformats.org/officeDocument/2006/relationships/hyperlink" Target="https://gallica.bnf.fr/ark:/12148/bpt6k6517197h/f109.item" TargetMode="External"/><Relationship Id="rId105" Type="http://schemas.openxmlformats.org/officeDocument/2006/relationships/hyperlink" Target="https://obvil.sorbonne-universite.fr/corpus/mercure-galant/MG-1678-09" TargetMode="External"/><Relationship Id="rId312" Type="http://schemas.openxmlformats.org/officeDocument/2006/relationships/hyperlink" Target="https://gallica.bnf.fr/ark:/12148/bpt6k6225094v/f115.item" TargetMode="External"/><Relationship Id="rId757" Type="http://schemas.openxmlformats.org/officeDocument/2006/relationships/hyperlink" Target="https://gallica.bnf.fr/ark:/12148/bpt6k62793028/f90.item" TargetMode="External"/><Relationship Id="rId93" Type="http://schemas.openxmlformats.org/officeDocument/2006/relationships/hyperlink" Target="https://gallica.bnf.fr/ark:/12148/bpt6k115287t/f107.item" TargetMode="External"/><Relationship Id="rId189" Type="http://schemas.openxmlformats.org/officeDocument/2006/relationships/hyperlink" Target="https://obvil.sorbonne-universite.fr/corpus/mercure-galant/MG-1679-08" TargetMode="External"/><Relationship Id="rId396" Type="http://schemas.openxmlformats.org/officeDocument/2006/relationships/hyperlink" Target="https://gallica.bnf.fr/ark:/12148/bpt6k65172454/f146.item" TargetMode="External"/><Relationship Id="rId617" Type="http://schemas.openxmlformats.org/officeDocument/2006/relationships/hyperlink" Target="http://bases-iremus.huma-num.fr/directus-rar/admin/content/personnes/e2dbb2a6-12b1-465c-b0a0-471c82625b20" TargetMode="External"/><Relationship Id="rId256" Type="http://schemas.openxmlformats.org/officeDocument/2006/relationships/hyperlink" Target="https://gallica.bnf.fr/ark:/12148/bpt6k62250906/f301.item" TargetMode="External"/><Relationship Id="rId463" Type="http://schemas.openxmlformats.org/officeDocument/2006/relationships/hyperlink" Target="https://gallica.bnf.fr/ark:/12148/bpt6k6541217s/f192.item" TargetMode="External"/><Relationship Id="rId670" Type="http://schemas.openxmlformats.org/officeDocument/2006/relationships/hyperlink" Target="https://gallica.bnf.fr/ark:/12148/bpt6k6258413j/f302.item" TargetMode="External"/><Relationship Id="rId116" Type="http://schemas.openxmlformats.org/officeDocument/2006/relationships/hyperlink" Target="https://obvil.sorbonne-universite.fr/corpus/mercure-galant/MG-1678-09e" TargetMode="External"/><Relationship Id="rId323" Type="http://schemas.openxmlformats.org/officeDocument/2006/relationships/hyperlink" Target="https://gallica.bnf.fr/ark:/12148/bpt6k6517305z/f212.item" TargetMode="External"/><Relationship Id="rId530" Type="http://schemas.openxmlformats.org/officeDocument/2006/relationships/hyperlink" Target="https://gallica.bnf.fr/ark:/12148/bpt6k6248452c/f173.item" TargetMode="External"/><Relationship Id="rId768" Type="http://schemas.openxmlformats.org/officeDocument/2006/relationships/hyperlink" Target="https://gallica.bnf.fr/ark:/12148/bpt6k6279330k/f215.item" TargetMode="External"/><Relationship Id="rId20" Type="http://schemas.openxmlformats.org/officeDocument/2006/relationships/hyperlink" Target="https://gallica.bnf.fr/ark:/12148/bpt6k42267730/f268.item" TargetMode="External"/><Relationship Id="rId628" Type="http://schemas.openxmlformats.org/officeDocument/2006/relationships/hyperlink" Target="https://gallica.bnf.fr/ark:/12148/bpt6k6228003z/f181.item" TargetMode="External"/><Relationship Id="rId267" Type="http://schemas.openxmlformats.org/officeDocument/2006/relationships/hyperlink" Target="https://www.parismuseescollections.paris.fr/fr/petit-palais/oeuvres/vues-d-espagne-vues-de-tolede-palais-royal-de-tolede-dutuit-page-12-robert" TargetMode="External"/><Relationship Id="rId474" Type="http://schemas.openxmlformats.org/officeDocument/2006/relationships/hyperlink" Target="https://gallica.bnf.fr/ark:/12148/bpt6k6221689c/f282.item" TargetMode="External"/><Relationship Id="rId127" Type="http://schemas.openxmlformats.org/officeDocument/2006/relationships/hyperlink" Target="https://obvil.sorbonne-universite.fr/corpus/mercure-galant/MG-1678-03" TargetMode="External"/><Relationship Id="rId681" Type="http://schemas.openxmlformats.org/officeDocument/2006/relationships/hyperlink" Target="https://gallica.bnf.fr/ark:/12148/bpt6k62941067/f178.item" TargetMode="External"/><Relationship Id="rId779" Type="http://schemas.openxmlformats.org/officeDocument/2006/relationships/hyperlink" Target="https://gallica.bnf.fr/ark:/12148/bpt6k63108711/f148.item" TargetMode="External"/><Relationship Id="rId31" Type="http://schemas.openxmlformats.org/officeDocument/2006/relationships/hyperlink" Target="https://gallica.bnf.fr/ark:/12148/bpt6k4227089r/f427.item" TargetMode="External"/><Relationship Id="rId334" Type="http://schemas.openxmlformats.org/officeDocument/2006/relationships/hyperlink" Target="https://www.parismuseescollections.paris.fr/ru/recherche/type/oeuvre/ET/auteur/Meunier%20ou%20Meusnier%20ou%20Musnier%2C%20Louis" TargetMode="External"/><Relationship Id="rId541" Type="http://schemas.openxmlformats.org/officeDocument/2006/relationships/hyperlink" Target="https://gallica.bnf.fr/ark:/12148/bpt6k6225862n/f235.item" TargetMode="External"/><Relationship Id="rId639" Type="http://schemas.openxmlformats.org/officeDocument/2006/relationships/hyperlink" Target="https://gallica.bnf.fr/ark:/12148/bpt6k6334255n/f186.item" TargetMode="External"/><Relationship Id="rId180" Type="http://schemas.openxmlformats.org/officeDocument/2006/relationships/hyperlink" Target="https://obvil.sorbonne-universite.fr/corpus/mercure-galant/MG-1679-07" TargetMode="External"/><Relationship Id="rId278" Type="http://schemas.openxmlformats.org/officeDocument/2006/relationships/hyperlink" Target="https://gallica.bnf.fr/ark:/12148/bpt6k6372016b/f306.item" TargetMode="External"/><Relationship Id="rId401" Type="http://schemas.openxmlformats.org/officeDocument/2006/relationships/hyperlink" Target="https://gallica.bnf.fr/ark:/12148/bpt6k1163382/f256.item" TargetMode="External"/><Relationship Id="rId485" Type="http://schemas.openxmlformats.org/officeDocument/2006/relationships/hyperlink" Target="https://obvil.sorbonne-universite.fr/corpus/mercure-galant/MG-1685-07" TargetMode="External"/><Relationship Id="rId692" Type="http://schemas.openxmlformats.org/officeDocument/2006/relationships/hyperlink" Target="https://gallica.bnf.fr/ark:/12148/bpt6k6258623m/f202.item" TargetMode="External"/><Relationship Id="rId706" Type="http://schemas.openxmlformats.org/officeDocument/2006/relationships/hyperlink" Target="http://bases-iremus.huma-num.fr/directus-rar/admin/content/personnes/69c20264-52ea-4566-a815-7123844fac19" TargetMode="External"/><Relationship Id="rId42" Type="http://schemas.openxmlformats.org/officeDocument/2006/relationships/hyperlink" Target="https://obvil.sorbonne-universite.fr/corpus/mercure-galant/MG-1678-03" TargetMode="External"/><Relationship Id="rId138" Type="http://schemas.openxmlformats.org/officeDocument/2006/relationships/hyperlink" Target="https://gallica.bnf.fr/ark:/12148/bpt6k1152928/f123.item" TargetMode="External"/><Relationship Id="rId345" Type="http://schemas.openxmlformats.org/officeDocument/2006/relationships/hyperlink" Target="http://bases-iremus.huma-num.fr/directus-rar/admin/content/personnes/9f7e3294-4a5c-4896-8b95-9a63c33d15b5" TargetMode="External"/><Relationship Id="rId552" Type="http://schemas.openxmlformats.org/officeDocument/2006/relationships/hyperlink" Target="https://obvil.sorbonne-universite.fr/corpus/mercure-galant/MG-1688-08" TargetMode="External"/><Relationship Id="rId191" Type="http://schemas.openxmlformats.org/officeDocument/2006/relationships/hyperlink" Target="https://gallica.bnf.fr/ark:/12148/bpt6k6487244d/f283.item" TargetMode="External"/><Relationship Id="rId205" Type="http://schemas.openxmlformats.org/officeDocument/2006/relationships/hyperlink" Target="https://gallica.bnf.fr/ark:/12148/bpt6k6216093g/f89.item" TargetMode="External"/><Relationship Id="rId412" Type="http://schemas.openxmlformats.org/officeDocument/2006/relationships/hyperlink" Target="https://gallica.bnf.fr/ark:/12148/bpt6k115298j/f180.item" TargetMode="External"/><Relationship Id="rId289" Type="http://schemas.openxmlformats.org/officeDocument/2006/relationships/hyperlink" Target="https://gallica.bnf.fr/ark:/12148/bpt6k65149372/f171.item" TargetMode="External"/><Relationship Id="rId496" Type="http://schemas.openxmlformats.org/officeDocument/2006/relationships/hyperlink" Target="https://gallica.bnf.fr/ark:/12148/bpt6k6227895n/f218.item" TargetMode="External"/><Relationship Id="rId717" Type="http://schemas.openxmlformats.org/officeDocument/2006/relationships/hyperlink" Target="https://gallica.bnf.fr/ark:/12148/bpt6k62590085/f231.item" TargetMode="External"/><Relationship Id="rId53" Type="http://schemas.openxmlformats.org/officeDocument/2006/relationships/hyperlink" Target="https://gallica.bnf.fr/ark:/12148/btv1b525141207/f76.item.zoom" TargetMode="External"/><Relationship Id="rId149" Type="http://schemas.openxmlformats.org/officeDocument/2006/relationships/hyperlink" Target="http://journals.openedition.org/estampe/1370" TargetMode="External"/><Relationship Id="rId356" Type="http://schemas.openxmlformats.org/officeDocument/2006/relationships/hyperlink" Target="https://www.parismuseescollections.paris.fr/fr/petit-palais/oeuvres/vues-d-espagne-vues-de-tolede-palais-royal-de-tolede-dutuit-page-12-robert" TargetMode="External"/><Relationship Id="rId563" Type="http://schemas.openxmlformats.org/officeDocument/2006/relationships/hyperlink" Target="https://gallica.bnf.fr/ark:/12148/bpt6k62680566/f218.item" TargetMode="External"/><Relationship Id="rId770" Type="http://schemas.openxmlformats.org/officeDocument/2006/relationships/hyperlink" Target="https://gallica.bn+f472/" TargetMode="External"/><Relationship Id="rId216" Type="http://schemas.openxmlformats.org/officeDocument/2006/relationships/hyperlink" Target="https://gallica.bnf.fr/ark:/12148/bpt6k62222098/f338.item" TargetMode="External"/><Relationship Id="rId423" Type="http://schemas.openxmlformats.org/officeDocument/2006/relationships/hyperlink" Target="http://bases-iremus.huma-num.fr/directus-rar/admin/content/personnes/930aabf9-2503-4600-8183-2aa0f87c8ea9" TargetMode="External"/><Relationship Id="rId630" Type="http://schemas.openxmlformats.org/officeDocument/2006/relationships/hyperlink" Target="https://gallica.bnf.fr/ark:/12148/bpt6k6227996d/f181.item" TargetMode="External"/><Relationship Id="rId728" Type="http://schemas.openxmlformats.org/officeDocument/2006/relationships/hyperlink" Target="http://bases-iremus.huma-num.fr/directus-rar/admin/content/personnes/69c20264-52ea-4566-a815-7123844fac19" TargetMode="External"/><Relationship Id="rId22" Type="http://schemas.openxmlformats.org/officeDocument/2006/relationships/hyperlink" Target="https://gallica.bnf.fr/ark:/12148/bpt6k42267730/f307.item" TargetMode="External"/><Relationship Id="rId64" Type="http://schemas.openxmlformats.org/officeDocument/2006/relationships/hyperlink" Target="https://obvil.sorbonne-universite.fr/corpus/mercure-galant/MG-1678-05" TargetMode="External"/><Relationship Id="rId118" Type="http://schemas.openxmlformats.org/officeDocument/2006/relationships/hyperlink" Target="https://obvil.sorbonne-universite.fr/corpus/mercure-galant/MG-1678-09e" TargetMode="External"/><Relationship Id="rId325" Type="http://schemas.openxmlformats.org/officeDocument/2006/relationships/hyperlink" Target="https://www.pop.culture.gouv.fr/notice/joconde/05120012036" TargetMode="External"/><Relationship Id="rId367" Type="http://schemas.openxmlformats.org/officeDocument/2006/relationships/hyperlink" Target="https://obvil.sorbonne-universite.fr/corpus/mercure-galant/MG-1682-02" TargetMode="External"/><Relationship Id="rId532" Type="http://schemas.openxmlformats.org/officeDocument/2006/relationships/hyperlink" Target="https://gallica.bnf.fr/ark:/12148/bpt6k62208371/f281.item" TargetMode="External"/><Relationship Id="rId574" Type="http://schemas.openxmlformats.org/officeDocument/2006/relationships/hyperlink" Target="https://gallica.bnf.fr/ark:/12148/bpt6k62280459/f360.item" TargetMode="External"/><Relationship Id="rId171" Type="http://schemas.openxmlformats.org/officeDocument/2006/relationships/hyperlink" Target="https://gallica.bnf.fr/ark:/12148/bpt6k4227057s/f394.item" TargetMode="External"/><Relationship Id="rId227" Type="http://schemas.openxmlformats.org/officeDocument/2006/relationships/hyperlink" Target="http://bases-iremus.huma-num.fr/directus-rar/admin/content/personnes/9f7e3294-4a5c-4896-8b95-9a63c33d15b5" TargetMode="External"/><Relationship Id="rId781" Type="http://schemas.openxmlformats.org/officeDocument/2006/relationships/hyperlink" Target="https://catalogue.bnf.fr/ark:/12148/cb419686887" TargetMode="External"/><Relationship Id="rId269" Type="http://schemas.openxmlformats.org/officeDocument/2006/relationships/hyperlink" Target="https://www.photo.rmn.fr/archive/17-547718-2C6NU0AAHO80M.html" TargetMode="External"/><Relationship Id="rId434" Type="http://schemas.openxmlformats.org/officeDocument/2006/relationships/hyperlink" Target="https://catalogue.bnf.fr/ark:/12148/cb41504311x" TargetMode="External"/><Relationship Id="rId476" Type="http://schemas.openxmlformats.org/officeDocument/2006/relationships/hyperlink" Target="https://gallica.bnf.fr/ark:/12148/bpt6k6227597f/f299.item" TargetMode="External"/><Relationship Id="rId641" Type="http://schemas.openxmlformats.org/officeDocument/2006/relationships/hyperlink" Target="http://bases-iremus.huma-num.fr/directus-rar/admin/content/personnes/e2dbb2a6-12b1-465c-b0a0-471c82625b20" TargetMode="External"/><Relationship Id="rId683" Type="http://schemas.openxmlformats.org/officeDocument/2006/relationships/hyperlink" Target="https://gallica.bnf.fr/ark:/12148/bpt6k1041715f/f291.item.zoom" TargetMode="External"/><Relationship Id="rId739" Type="http://schemas.openxmlformats.org/officeDocument/2006/relationships/hyperlink" Target="http://bases-iremus.huma-num.fr/directus-rar/admin/content/personnes/69c20264-52ea-4566-a815-7123844fac19" TargetMode="External"/><Relationship Id="rId33" Type="http://schemas.openxmlformats.org/officeDocument/2006/relationships/hyperlink" Target="https://obvil.sorbonne-universite.fr/corpus/mercure-galant/MG-1678-03" TargetMode="External"/><Relationship Id="rId129" Type="http://schemas.openxmlformats.org/officeDocument/2006/relationships/hyperlink" Target="https://gallica.bnf.fr/ark:/12148/btv1b71001118" TargetMode="External"/><Relationship Id="rId280" Type="http://schemas.openxmlformats.org/officeDocument/2006/relationships/hyperlink" Target="https://www.parismuseescollections.paris.fr/fr/petit-palais/oeuvres/vues-d-espagne-vues-de-tolede-palais-royal-de-tolede-dutuit-page-12-robert" TargetMode="External"/><Relationship Id="rId336" Type="http://schemas.openxmlformats.org/officeDocument/2006/relationships/hyperlink" Target="https://gallica.bnf.fr/ark:/12148/bpt6k6218413f/f202.item" TargetMode="External"/><Relationship Id="rId501" Type="http://schemas.openxmlformats.org/officeDocument/2006/relationships/hyperlink" Target="https://obvil.sorbonne-universite.fr/corpus/mercure-galant/MG-1686-04" TargetMode="External"/><Relationship Id="rId543" Type="http://schemas.openxmlformats.org/officeDocument/2006/relationships/hyperlink" Target="https://gallica.bnf.fr/ark:/12148/bpt6k6371712s/f164.item" TargetMode="External"/><Relationship Id="rId75" Type="http://schemas.openxmlformats.org/officeDocument/2006/relationships/hyperlink" Target="https://gallica.bnf.fr/ark:/12148/bpt6k1204477t/f395.item" TargetMode="External"/><Relationship Id="rId140" Type="http://schemas.openxmlformats.org/officeDocument/2006/relationships/hyperlink" Target="https://obvil.sorbonne-universite.fr/corpus/mercure-galant/MG-1678-12" TargetMode="External"/><Relationship Id="rId182" Type="http://schemas.openxmlformats.org/officeDocument/2006/relationships/hyperlink" Target="https://gallica.bnf.fr/ark:/12148/bpt6k6373045c/f177.item" TargetMode="External"/><Relationship Id="rId378" Type="http://schemas.openxmlformats.org/officeDocument/2006/relationships/hyperlink" Target="https://www.parismuseescollections.paris.fr/fr/petit-palais/oeuvres/vues-d-espagne-vues-de-tolede-palais-royal-de-tolede-dutuit-page-12-robert" TargetMode="External"/><Relationship Id="rId403" Type="http://schemas.openxmlformats.org/officeDocument/2006/relationships/hyperlink" Target="https://obvil.sorbonne-universite.fr/corpus/mercure-galant/MG-1682-10a" TargetMode="External"/><Relationship Id="rId585" Type="http://schemas.openxmlformats.org/officeDocument/2006/relationships/hyperlink" Target="https://gallica.bnf.fr/ark:/12148/bpt6k6227653m/f156.item" TargetMode="External"/><Relationship Id="rId750" Type="http://schemas.openxmlformats.org/officeDocument/2006/relationships/hyperlink" Target="http://bases-iremus.huma-num.fr/directus-rar/admin/content/personnes/69c20264-52ea-4566-a815-7123844fac19" TargetMode="External"/><Relationship Id="rId792" Type="http://schemas.openxmlformats.org/officeDocument/2006/relationships/vmlDrawing" Target="../drawings/vmlDrawing1.vml"/><Relationship Id="rId6" Type="http://schemas.openxmlformats.org/officeDocument/2006/relationships/hyperlink" Target="http://bases-iremus.huma-num.fr/directus-rar/admin/content/personnes/9d60b4f7-223b-4a27-b506-c1317bfa0afa" TargetMode="External"/><Relationship Id="rId238" Type="http://schemas.openxmlformats.org/officeDocument/2006/relationships/hyperlink" Target="https://gallica.bnf.fr/ark:/12148/bpt6k6216337w/f46.item" TargetMode="External"/><Relationship Id="rId445" Type="http://schemas.openxmlformats.org/officeDocument/2006/relationships/hyperlink" Target="https://obvil.sorbonne-universite.fr/corpus/mercure-galant/MG-1683-09e" TargetMode="External"/><Relationship Id="rId487" Type="http://schemas.openxmlformats.org/officeDocument/2006/relationships/hyperlink" Target="https://opentheso5.mom.fr/opentheso5/?idc=berain_jean_(1640-1711)&amp;idt=25" TargetMode="External"/><Relationship Id="rId610" Type="http://schemas.openxmlformats.org/officeDocument/2006/relationships/hyperlink" Target="https://obvil.sorbonne-universite.fr/corpus/mercure-galant/MG-1691-06" TargetMode="External"/><Relationship Id="rId652" Type="http://schemas.openxmlformats.org/officeDocument/2006/relationships/hyperlink" Target="https://catalogue.bnf.fr/ark:/12148/cb42335777m" TargetMode="External"/><Relationship Id="rId694" Type="http://schemas.openxmlformats.org/officeDocument/2006/relationships/hyperlink" Target="https://gallica.bnf.fr/ark:/12148/bpt6k62587036/f190.item" TargetMode="External"/><Relationship Id="rId708" Type="http://schemas.openxmlformats.org/officeDocument/2006/relationships/hyperlink" Target="http://bases-iremus.huma-num.fr/directus-rar/admin/content/personnes/69c20264-52ea-4566-a815-7123844fac19" TargetMode="External"/><Relationship Id="rId291" Type="http://schemas.openxmlformats.org/officeDocument/2006/relationships/hyperlink" Target="https://gallica.bnf.fr/ark:/12148/bpt6k65149372/f326.item" TargetMode="External"/><Relationship Id="rId305" Type="http://schemas.openxmlformats.org/officeDocument/2006/relationships/hyperlink" Target="http://bases-iremus.huma-num.fr/directus-rar/admin/content/personnes/9f7e3294-4a5c-4896-8b95-9a63c33d15b5" TargetMode="External"/><Relationship Id="rId347" Type="http://schemas.openxmlformats.org/officeDocument/2006/relationships/hyperlink" Target="https://obvil.sorbonne-universite.fr/corpus/mercure-galant/MG-1681-09e" TargetMode="External"/><Relationship Id="rId512" Type="http://schemas.openxmlformats.org/officeDocument/2006/relationships/hyperlink" Target="https://gallica.bnf.fr/ark:/12148/bpt6k6259034n/f270.item" TargetMode="External"/><Relationship Id="rId44" Type="http://schemas.openxmlformats.org/officeDocument/2006/relationships/hyperlink" Target="https://obvil.sorbonne-universite.fr/corpus/mercure-galant/MG-1678-03" TargetMode="External"/><Relationship Id="rId86" Type="http://schemas.openxmlformats.org/officeDocument/2006/relationships/hyperlink" Target="https://gallica.bnf.fr/ark:/12148/bpt6k4227113z/f347.item" TargetMode="External"/><Relationship Id="rId151" Type="http://schemas.openxmlformats.org/officeDocument/2006/relationships/hyperlink" Target="https://gallica.bnf.fr/ark:/12148/bpt6k4227068k/f31.item" TargetMode="External"/><Relationship Id="rId389" Type="http://schemas.openxmlformats.org/officeDocument/2006/relationships/hyperlink" Target="https://gallica.bnf.fr/ark:/12148/bpt6k6227590j/f167.item" TargetMode="External"/><Relationship Id="rId554" Type="http://schemas.openxmlformats.org/officeDocument/2006/relationships/hyperlink" Target="https://obvil.sorbonne-universite.fr/corpus/mercure-galant/MG-1688-09a" TargetMode="External"/><Relationship Id="rId596" Type="http://schemas.openxmlformats.org/officeDocument/2006/relationships/hyperlink" Target="https://gallica.bnf.fr/ark:/12148/bpt6k62275872/f277.item" TargetMode="External"/><Relationship Id="rId761" Type="http://schemas.openxmlformats.org/officeDocument/2006/relationships/hyperlink" Target="https://obvil.sorbonne-universite.fr/corpus/mercure-galant/MG-1703-03" TargetMode="External"/><Relationship Id="rId193" Type="http://schemas.openxmlformats.org/officeDocument/2006/relationships/hyperlink" Target="https://gallica.bnf.fr/ark:/12148/bpt6k6487244d/f385.item" TargetMode="External"/><Relationship Id="rId207" Type="http://schemas.openxmlformats.org/officeDocument/2006/relationships/hyperlink" Target="https://obvil.sorbonne-universite.fr/corpus/mercure-galant/MG-1679-10b" TargetMode="External"/><Relationship Id="rId249" Type="http://schemas.openxmlformats.org/officeDocument/2006/relationships/hyperlink" Target="https://gallica.bnf.fr/ark:/12148/bpt6k6544125x/f99.item" TargetMode="External"/><Relationship Id="rId414" Type="http://schemas.openxmlformats.org/officeDocument/2006/relationships/hyperlink" Target="https://gallica.bnf.fr/ark:/12148/bpt6k115298j/f201.item" TargetMode="External"/><Relationship Id="rId456" Type="http://schemas.openxmlformats.org/officeDocument/2006/relationships/hyperlink" Target="https://gallica.bnf.fr/ark:/12148/bpt6k6229737g/f90.item" TargetMode="External"/><Relationship Id="rId498" Type="http://schemas.openxmlformats.org/officeDocument/2006/relationships/hyperlink" Target="https://gallica.bnf.fr/ark:/12148/btv1b8406490q.item" TargetMode="External"/><Relationship Id="rId621" Type="http://schemas.openxmlformats.org/officeDocument/2006/relationships/hyperlink" Target="https://gallica.bnf.fr/ark:/12148/bpt6k6310979p/f242.item" TargetMode="External"/><Relationship Id="rId663" Type="http://schemas.openxmlformats.org/officeDocument/2006/relationships/hyperlink" Target="https://gallica.bnf.fr/ark:/12148/bpt6k6260059z/f208.item" TargetMode="External"/><Relationship Id="rId13" Type="http://schemas.openxmlformats.org/officeDocument/2006/relationships/hyperlink" Target="https://obvil.sorbonne-universite.fr/corpus/mercure-galant/MG-1678-02" TargetMode="External"/><Relationship Id="rId109" Type="http://schemas.openxmlformats.org/officeDocument/2006/relationships/hyperlink" Target="https://obvil.sorbonne-universite.fr/corpus/mercure-galant/MG-1678-10" TargetMode="External"/><Relationship Id="rId260" Type="http://schemas.openxmlformats.org/officeDocument/2006/relationships/hyperlink" Target="https://gallica.bnf.fr/ark:/12148/bpt6k6373043j/f166.item" TargetMode="External"/><Relationship Id="rId316" Type="http://schemas.openxmlformats.org/officeDocument/2006/relationships/hyperlink" Target="https://obvil.sorbonne-universite.fr/corpus/mercure-galant/MG-1681-03e" TargetMode="External"/><Relationship Id="rId523" Type="http://schemas.openxmlformats.org/officeDocument/2006/relationships/hyperlink" Target="https://gallica.bnf.fr/ark:/12148/bpt6k6263539v/f277.item" TargetMode="External"/><Relationship Id="rId719" Type="http://schemas.openxmlformats.org/officeDocument/2006/relationships/hyperlink" Target="http://bases-iremus.huma-num.fr/directus-rar/admin/content/personnes/69c20264-52ea-4566-a815-7123844fac19" TargetMode="External"/><Relationship Id="rId55" Type="http://schemas.openxmlformats.org/officeDocument/2006/relationships/hyperlink" Target="https://gallica.bnf.fr/ark:/12148/bpt6k4226770r/f346.item" TargetMode="External"/><Relationship Id="rId97" Type="http://schemas.openxmlformats.org/officeDocument/2006/relationships/hyperlink" Target="http://bases-iremus.huma-num.fr/directus-rar/admin/content/personnes/a2a4d6b3-f8a9-4aae-8a3d-77abc6de01e9" TargetMode="External"/><Relationship Id="rId120" Type="http://schemas.openxmlformats.org/officeDocument/2006/relationships/hyperlink" Target="http://bases-iremus.huma-num.fr/directus-rar/admin/content/personnes/db3b6fd7-a906-4df0-bd29-18040b7f8c6a" TargetMode="External"/><Relationship Id="rId358" Type="http://schemas.openxmlformats.org/officeDocument/2006/relationships/hyperlink" Target="https://obvil.sorbonne-universite.fr/corpus/mercure-galant/MG-1681-12" TargetMode="External"/><Relationship Id="rId565" Type="http://schemas.openxmlformats.org/officeDocument/2006/relationships/hyperlink" Target="https://gallica.bnf.fr/ark:/12148/bpt6k6222753d/f198.item" TargetMode="External"/><Relationship Id="rId730" Type="http://schemas.openxmlformats.org/officeDocument/2006/relationships/hyperlink" Target="http://bases-iremus.huma-num.fr/directus-rar/admin/content/personnes/69c20264-52ea-4566-a815-7123844fac19" TargetMode="External"/><Relationship Id="rId772" Type="http://schemas.openxmlformats.org/officeDocument/2006/relationships/hyperlink" Target="https://gallica.bnf.fr/ark:/12148/bpt6k62914248/f171.item" TargetMode="External"/><Relationship Id="rId162" Type="http://schemas.openxmlformats.org/officeDocument/2006/relationships/hyperlink" Target="https://gallica.bnf.fr/ark:/12148/bpt6k42270690/f376.item" TargetMode="External"/><Relationship Id="rId218" Type="http://schemas.openxmlformats.org/officeDocument/2006/relationships/hyperlink" Target="https://gallica.bnf.fr/ark:/12148/bpt6k6373215x/f212.item" TargetMode="External"/><Relationship Id="rId425" Type="http://schemas.openxmlformats.org/officeDocument/2006/relationships/hyperlink" Target="https://obvil.sorbonne-universite.fr/corpus/mercure-galant/MG-1683-03" TargetMode="External"/><Relationship Id="rId467" Type="http://schemas.openxmlformats.org/officeDocument/2006/relationships/hyperlink" Target="https://gallica.bnf.fr/ark:/12148/btv1b8407312g" TargetMode="External"/><Relationship Id="rId632" Type="http://schemas.openxmlformats.org/officeDocument/2006/relationships/hyperlink" Target="https://gallica.bnf.fr/ark:/12148/bpt6k6274143z/f218.item" TargetMode="External"/><Relationship Id="rId271" Type="http://schemas.openxmlformats.org/officeDocument/2006/relationships/hyperlink" Target="https://gallica.bnf.fr/ark:/12148/bpt6k62986385/f332.item" TargetMode="External"/><Relationship Id="rId674" Type="http://schemas.openxmlformats.org/officeDocument/2006/relationships/hyperlink" Target="https://obvil.sorbonne-universite.fr/corpus/mercure-galant/MG-1694-08" TargetMode="External"/><Relationship Id="rId24" Type="http://schemas.openxmlformats.org/officeDocument/2006/relationships/hyperlink" Target="https://opentheso3.mom.fr/opentheso3/?idc=298137&amp;idt=43" TargetMode="External"/><Relationship Id="rId66" Type="http://schemas.openxmlformats.org/officeDocument/2006/relationships/hyperlink" Target="http://bases-iremus.huma-num.fr/directus-rar/admin/content/personnes/5973bf39-1e85-44ed-b500-163109eaa6e9" TargetMode="External"/><Relationship Id="rId131" Type="http://schemas.openxmlformats.org/officeDocument/2006/relationships/hyperlink" Target="https://gallica.bnf.fr/ark:/12148/bpt6k115291w/f397.item" TargetMode="External"/><Relationship Id="rId327" Type="http://schemas.openxmlformats.org/officeDocument/2006/relationships/hyperlink" Target="https://obvil.sorbonne-universite.fr/corpus/mercure-galant/MG-1681-06" TargetMode="External"/><Relationship Id="rId369" Type="http://schemas.openxmlformats.org/officeDocument/2006/relationships/hyperlink" Target="http://collections.chateauversailles.fr/" TargetMode="External"/><Relationship Id="rId534" Type="http://schemas.openxmlformats.org/officeDocument/2006/relationships/hyperlink" Target="https://gallica.bnf.fr/ark:/12148/bpt6k1041715f/f397.item.zoom" TargetMode="External"/><Relationship Id="rId576" Type="http://schemas.openxmlformats.org/officeDocument/2006/relationships/hyperlink" Target="http://bases-iremus.huma-num.fr/directus-rar/admin/content/personnes/e2dbb2a6-12b1-465c-b0a0-471c82625b20" TargetMode="External"/><Relationship Id="rId741" Type="http://schemas.openxmlformats.org/officeDocument/2006/relationships/hyperlink" Target="http://bases-iremus.huma-num.fr/directus-rar/admin/content/personnes/69c20264-52ea-4566-a815-7123844fac19" TargetMode="External"/><Relationship Id="rId783" Type="http://schemas.openxmlformats.org/officeDocument/2006/relationships/hyperlink" Target="http://bases-iremus.huma-num.fr/directus-rar/admin/content/personnes/69c20264-52ea-4566-a815-7123844fac19" TargetMode="External"/><Relationship Id="rId173" Type="http://schemas.openxmlformats.org/officeDocument/2006/relationships/hyperlink" Target="https://gallica.bnf.fr/ark:/12148/bpt6k6227265f/f24.item" TargetMode="External"/><Relationship Id="rId229" Type="http://schemas.openxmlformats.org/officeDocument/2006/relationships/hyperlink" Target="https://gallica.bnf.fr/ark:/12148/bpt6k6559580b/f265.item" TargetMode="External"/><Relationship Id="rId380" Type="http://schemas.openxmlformats.org/officeDocument/2006/relationships/hyperlink" Target="https://catalogue.bnf.fr/ark:/12148/cb415042887" TargetMode="External"/><Relationship Id="rId436" Type="http://schemas.openxmlformats.org/officeDocument/2006/relationships/hyperlink" Target="https://gallica.bnf.fr/ark:/12148/bpt6k62208141/f319.item" TargetMode="External"/><Relationship Id="rId601" Type="http://schemas.openxmlformats.org/officeDocument/2006/relationships/hyperlink" Target="https://obvil.sorbonne-universite.fr/corpus/mercure-galant/MG-1691-02" TargetMode="External"/><Relationship Id="rId643" Type="http://schemas.openxmlformats.org/officeDocument/2006/relationships/hyperlink" Target="https://gallica.bnf.fr/ark:/12148/bpt6k6334264m/f207.item" TargetMode="External"/><Relationship Id="rId240" Type="http://schemas.openxmlformats.org/officeDocument/2006/relationships/hyperlink" Target="https://gallica.bnf.fr/ark:/12148/bpt6k6216337w/f205.item" TargetMode="External"/><Relationship Id="rId478" Type="http://schemas.openxmlformats.org/officeDocument/2006/relationships/hyperlink" Target="http://bases-iremus.huma-num.fr/directus-rar/admin/content/personnes/303bf40e-5603-4bc6-8959-1e7b58d1aaf4" TargetMode="External"/><Relationship Id="rId685" Type="http://schemas.openxmlformats.org/officeDocument/2006/relationships/hyperlink" Target="https://www.rmg.co.uk/collections/objects/rmgc-object-37571" TargetMode="External"/><Relationship Id="rId35" Type="http://schemas.openxmlformats.org/officeDocument/2006/relationships/hyperlink" Target="https://obvil.sorbonne-universite.fr/corpus/mercure-galant/MG-1678-03" TargetMode="External"/><Relationship Id="rId77" Type="http://schemas.openxmlformats.org/officeDocument/2006/relationships/hyperlink" Target="https://gallica.bnf.fr/ark:/12148/bpt6k1204477t/f405.item" TargetMode="External"/><Relationship Id="rId100" Type="http://schemas.openxmlformats.org/officeDocument/2006/relationships/hyperlink" Target="https://gallica.bnf.fr/ark:/12148/bpt6k115290h/f40.item" TargetMode="External"/><Relationship Id="rId282" Type="http://schemas.openxmlformats.org/officeDocument/2006/relationships/hyperlink" Target="https://gallica.bnf.fr/ark:/12148/bpt6k6222726h/f280.item" TargetMode="External"/><Relationship Id="rId338" Type="http://schemas.openxmlformats.org/officeDocument/2006/relationships/hyperlink" Target="https://obvil.sorbonne-universite.fr/corpus/mercure-galant/MG-1681-08" TargetMode="External"/><Relationship Id="rId503" Type="http://schemas.openxmlformats.org/officeDocument/2006/relationships/hyperlink" Target="https://obvil.sorbonne-universite.fr/corpus/mercure-galant/MG-1686-05" TargetMode="External"/><Relationship Id="rId545" Type="http://schemas.openxmlformats.org/officeDocument/2006/relationships/hyperlink" Target="https://gallica.bnf.fr/ark:/12148/bpt6k62216938/f168.item" TargetMode="External"/><Relationship Id="rId587" Type="http://schemas.openxmlformats.org/officeDocument/2006/relationships/hyperlink" Target="https://gallica.bnf.fr/ark:/12148/bpt6k6514938g/f63.item" TargetMode="External"/><Relationship Id="rId710" Type="http://schemas.openxmlformats.org/officeDocument/2006/relationships/hyperlink" Target="http://bases-iremus.huma-num.fr/directus-rar/admin/content/personnes/69c20264-52ea-4566-a815-7123844fac19" TargetMode="External"/><Relationship Id="rId752" Type="http://schemas.openxmlformats.org/officeDocument/2006/relationships/hyperlink" Target="https://opentheso5.mom.fr/opentheso5/?idc=berain_jean_(1640-1711)&amp;idt=25" TargetMode="External"/><Relationship Id="rId8" Type="http://schemas.openxmlformats.org/officeDocument/2006/relationships/hyperlink" Target="https://books.google.fr/books?id=mHq-LjbJyzEC&amp;printsec=frontcover&amp;hl=fr&amp;source=gbs_ge_summary_r&amp;cad=0" TargetMode="External"/><Relationship Id="rId142" Type="http://schemas.openxmlformats.org/officeDocument/2006/relationships/hyperlink" Target="https://gallica.bnf.fr/ark:/12148/bpt6k1152928/f301.item" TargetMode="External"/><Relationship Id="rId184" Type="http://schemas.openxmlformats.org/officeDocument/2006/relationships/hyperlink" Target="https://obvil.sorbonne-universite.fr/corpus/mercure-galant/MG-1679-07" TargetMode="External"/><Relationship Id="rId391" Type="http://schemas.openxmlformats.org/officeDocument/2006/relationships/hyperlink" Target="https://gallica.bnf.fr/ark:/12148/bpt6k6227590j/f367.item" TargetMode="External"/><Relationship Id="rId405" Type="http://schemas.openxmlformats.org/officeDocument/2006/relationships/hyperlink" Target="http://bases-iremus.huma-num.fr/directus-rar/admin/content/personnes/62104205-ccc3-4f31-bcf0-adf828ff0df1" TargetMode="External"/><Relationship Id="rId447" Type="http://schemas.openxmlformats.org/officeDocument/2006/relationships/hyperlink" Target="https://www.parismuseescollections.paris.fr/fr/petit-palais/oeuvres/vues-d-espagne-vues-de-tolede-palais-royal-de-tolede-dutuit-page-12-robert" TargetMode="External"/><Relationship Id="rId612" Type="http://schemas.openxmlformats.org/officeDocument/2006/relationships/hyperlink" Target="https://obvil.sorbonne-universite.fr/corpus/mercure-galant/MG-1691-07" TargetMode="External"/><Relationship Id="rId251" Type="http://schemas.openxmlformats.org/officeDocument/2006/relationships/hyperlink" Target="https://gallica.bnf.fr/ark:/12148/bpt6k6544125x/f237.item" TargetMode="External"/><Relationship Id="rId489" Type="http://schemas.openxmlformats.org/officeDocument/2006/relationships/hyperlink" Target="https://gallica.bnf.fr/ark:/12148/btv1b8595351p" TargetMode="External"/><Relationship Id="rId654" Type="http://schemas.openxmlformats.org/officeDocument/2006/relationships/hyperlink" Target="http://bases-iremus.huma-num.fr/directus-rar/admin/content/personnes/e2dbb2a6-12b1-465c-b0a0-471c82625b20" TargetMode="External"/><Relationship Id="rId696" Type="http://schemas.openxmlformats.org/officeDocument/2006/relationships/hyperlink" Target="https://gallica.bnf.fr/ark:/12148/bpt6k63174957/f65.item" TargetMode="External"/><Relationship Id="rId46" Type="http://schemas.openxmlformats.org/officeDocument/2006/relationships/hyperlink" Target="https://obvil.sorbonne-universite.fr/corpus/mercure-galant/MG-1678-03" TargetMode="External"/><Relationship Id="rId293" Type="http://schemas.openxmlformats.org/officeDocument/2006/relationships/hyperlink" Target="http://bases-iremus.huma-num.fr/directus-rar/admin/content/personnes/9f7e3294-4a5c-4896-8b95-9a63c33d15b5" TargetMode="External"/><Relationship Id="rId307" Type="http://schemas.openxmlformats.org/officeDocument/2006/relationships/hyperlink" Target="https://obvil.sorbonne-universite.fr/corpus/mercure-galant/MG-1681-02" TargetMode="External"/><Relationship Id="rId349" Type="http://schemas.openxmlformats.org/officeDocument/2006/relationships/hyperlink" Target="http://bases-iremus.huma-num.fr/directus-rar/admin/content/personnes/9f7e3294-4a5c-4896-8b95-9a63c33d15b5" TargetMode="External"/><Relationship Id="rId514" Type="http://schemas.openxmlformats.org/officeDocument/2006/relationships/hyperlink" Target="https://gallica.bnf.fr/ark:/12148/bpt6k6225131p/f296.item" TargetMode="External"/><Relationship Id="rId556" Type="http://schemas.openxmlformats.org/officeDocument/2006/relationships/hyperlink" Target="https://www.parismuseescollections.paris.fr/fr/petit-palais/oeuvres/les-embellissements-de-paris-0" TargetMode="External"/><Relationship Id="rId721" Type="http://schemas.openxmlformats.org/officeDocument/2006/relationships/hyperlink" Target="http://bases-iremus.huma-num.fr/directus-rar/admin/content/personnes/69c20264-52ea-4566-a815-7123844fac19" TargetMode="External"/><Relationship Id="rId763" Type="http://schemas.openxmlformats.org/officeDocument/2006/relationships/hyperlink" Target="https://obvil.sorbonne-universite.fr/corpus/mercure-galant/MG-1703-02" TargetMode="External"/><Relationship Id="rId88" Type="http://schemas.openxmlformats.org/officeDocument/2006/relationships/hyperlink" Target="https://obvil.sorbonne-universite.fr/corpus/mercure-galant/MG-1678-07" TargetMode="External"/><Relationship Id="rId111" Type="http://schemas.openxmlformats.org/officeDocument/2006/relationships/hyperlink" Target="https://obvil.sorbonne-universite.fr/corpus/mercure-galant/MG-1678-09e" TargetMode="External"/><Relationship Id="rId153" Type="http://schemas.openxmlformats.org/officeDocument/2006/relationships/hyperlink" Target="https://obvil.sorbonne-universite.fr/corpus/mercure-galant/MG-1679-01" TargetMode="External"/><Relationship Id="rId195" Type="http://schemas.openxmlformats.org/officeDocument/2006/relationships/hyperlink" Target="https://gallica.bnf.fr/ark:/12148/bpt6k6220333n/f68.item" TargetMode="External"/><Relationship Id="rId209" Type="http://schemas.openxmlformats.org/officeDocument/2006/relationships/hyperlink" Target="https://gallica.bnf.fr/ark:/12148/bpt6k6216093g/f223.item" TargetMode="External"/><Relationship Id="rId360" Type="http://schemas.openxmlformats.org/officeDocument/2006/relationships/hyperlink" Target="http://bases-iremus.huma-num.fr/directus-rar/admin/content/personnes/9f7e3294-4a5c-4896-8b95-9a63c33d15b5" TargetMode="External"/><Relationship Id="rId416" Type="http://schemas.openxmlformats.org/officeDocument/2006/relationships/hyperlink" Target="http://bases-iremus.huma-num.fr/directus-rar/admin/content/personnes/9f7e3294-4a5c-4896-8b95-9a63c33d15b5" TargetMode="External"/><Relationship Id="rId598" Type="http://schemas.openxmlformats.org/officeDocument/2006/relationships/hyperlink" Target="https://obvil.sorbonne-universite.fr/corpus/mercure-galant/MG-1691-01" TargetMode="External"/><Relationship Id="rId220" Type="http://schemas.openxmlformats.org/officeDocument/2006/relationships/hyperlink" Target="https://gallica.bnf.fr/ark:/12148/bpt6k6220794q/f50.item" TargetMode="External"/><Relationship Id="rId458" Type="http://schemas.openxmlformats.org/officeDocument/2006/relationships/hyperlink" Target="https://obvil.sorbonne-universite.fr/corpus/mercure-galant/MG-1684-01" TargetMode="External"/><Relationship Id="rId623" Type="http://schemas.openxmlformats.org/officeDocument/2006/relationships/hyperlink" Target="https://obvil.sorbonne-universite.fr/corpus/mercure-galant/MG-1692-01a" TargetMode="External"/><Relationship Id="rId665" Type="http://schemas.openxmlformats.org/officeDocument/2006/relationships/hyperlink" Target="https://gallica.bnf.fr/ark:/12148/bpt6k62577939/f307.item" TargetMode="External"/><Relationship Id="rId15" Type="http://schemas.openxmlformats.org/officeDocument/2006/relationships/hyperlink" Target="https://gallica.bnf.fr/ark:/12148/bpt6k42267730/f7.item" TargetMode="External"/><Relationship Id="rId57" Type="http://schemas.openxmlformats.org/officeDocument/2006/relationships/hyperlink" Target="https://gallica.bnf.fr/ark:/12148/bpt6k4226770r/f369.item" TargetMode="External"/><Relationship Id="rId262" Type="http://schemas.openxmlformats.org/officeDocument/2006/relationships/hyperlink" Target="https://books.google.fr/books?id=9ZxMAAAAcAAJ&amp;pg=PA181&amp;lpg=PA181&amp;dq=Ludovicus+Magnus+Rex.++ch%C3%A9ron&amp;source=bl&amp;ots=01oeUIg8MZ&amp;sig=ACfU3U1XQ5qH0LWJVWqs7Cfbo5F0eRpxgA&amp;hl=fr&amp;sa=X&amp;ved=2ahUKEwjasYqs5tn2AhUESxoKHWEjC7UQ6AF6BAghEAM" TargetMode="External"/><Relationship Id="rId318" Type="http://schemas.openxmlformats.org/officeDocument/2006/relationships/hyperlink" Target="https://www.parismuseescollections.paris.fr/fr/petit-palais/oeuvres/vues-d-espagne-vues-de-tolede-palais-royal-de-tolede-dutuit-page-12-robert" TargetMode="External"/><Relationship Id="rId525" Type="http://schemas.openxmlformats.org/officeDocument/2006/relationships/hyperlink" Target="https://gallica.bnf.fr/ark:/12148/bpt6k6248112t/f271.item" TargetMode="External"/><Relationship Id="rId567" Type="http://schemas.openxmlformats.org/officeDocument/2006/relationships/hyperlink" Target="https://gallica.bnf.fr/ark:/12148/bpt6k6437997k/f239.item" TargetMode="External"/><Relationship Id="rId732" Type="http://schemas.openxmlformats.org/officeDocument/2006/relationships/hyperlink" Target="https://gallica.bnf.fr/ark:/12148/bpt6k6270465b/f126.item" TargetMode="External"/><Relationship Id="rId99" Type="http://schemas.openxmlformats.org/officeDocument/2006/relationships/hyperlink" Target="https://gallica.bnf.fr/ark:/12148/bpt6k115287t/f409.item" TargetMode="External"/><Relationship Id="rId122" Type="http://schemas.openxmlformats.org/officeDocument/2006/relationships/hyperlink" Target="https://gallica.bnf.fr/ark:/12148/bpt6k115291w/f294.item" TargetMode="External"/><Relationship Id="rId164" Type="http://schemas.openxmlformats.org/officeDocument/2006/relationships/hyperlink" Target="https://obvil.sorbonne-universite.fr/corpus/mercure-galant/MG-1679-01" TargetMode="External"/><Relationship Id="rId371" Type="http://schemas.openxmlformats.org/officeDocument/2006/relationships/hyperlink" Target="https://gallica.bnf.fr/ark:/12148/bpt6k62624915/f276.item" TargetMode="External"/><Relationship Id="rId774" Type="http://schemas.openxmlformats.org/officeDocument/2006/relationships/hyperlink" Target="http://bases-iremus.huma-num.fr/directus-rar/admin/content/personnes/69c20264-52ea-4566-a815-7123844fac19" TargetMode="External"/><Relationship Id="rId427" Type="http://schemas.openxmlformats.org/officeDocument/2006/relationships/hyperlink" Target="https://gallica.bnf.fr/ark:/12148/btv1b84063518" TargetMode="External"/><Relationship Id="rId469" Type="http://schemas.openxmlformats.org/officeDocument/2006/relationships/hyperlink" Target="https://gallica.bnf.fr/ark:/12148/bpt6k62591006/f121.item" TargetMode="External"/><Relationship Id="rId634" Type="http://schemas.openxmlformats.org/officeDocument/2006/relationships/hyperlink" Target="https://gallica.bnf.fr/ark:/12148/bpt6k6317789j/f243.item" TargetMode="External"/><Relationship Id="rId676" Type="http://schemas.openxmlformats.org/officeDocument/2006/relationships/hyperlink" Target="https://gallica.bnf.fr/ark:/12148/bpt6k6257589q/f130.item" TargetMode="External"/><Relationship Id="rId26" Type="http://schemas.openxmlformats.org/officeDocument/2006/relationships/hyperlink" Target="https://gallica.bnf.fr/ark:/12148/bpt6k4227089r/f188.item" TargetMode="External"/><Relationship Id="rId231" Type="http://schemas.openxmlformats.org/officeDocument/2006/relationships/hyperlink" Target="https://gallica.bnf.fr/ark:/12148/bpt6k6220151w/f136.item" TargetMode="External"/><Relationship Id="rId273" Type="http://schemas.openxmlformats.org/officeDocument/2006/relationships/hyperlink" Target="https://gallica.bnf.fr/ark:/12148/bpt6k62219294/f223.item" TargetMode="External"/><Relationship Id="rId329" Type="http://schemas.openxmlformats.org/officeDocument/2006/relationships/hyperlink" Target="https://obvil.sorbonne-universite.fr/corpus/mercure-galant/MG-1681-06" TargetMode="External"/><Relationship Id="rId480" Type="http://schemas.openxmlformats.org/officeDocument/2006/relationships/hyperlink" Target="https://gallica.bnf.fr/ark:/12148/bpt6k6228375g/f207.item" TargetMode="External"/><Relationship Id="rId536" Type="http://schemas.openxmlformats.org/officeDocument/2006/relationships/hyperlink" Target="https://obvil.sorbonne-universite.fr/corpus/mercure-galant/MG-1687-11" TargetMode="External"/><Relationship Id="rId701" Type="http://schemas.openxmlformats.org/officeDocument/2006/relationships/hyperlink" Target="https://gallica.bnf.fr/ark:/12148/bpt6k62588254/f155.item" TargetMode="External"/><Relationship Id="rId68" Type="http://schemas.openxmlformats.org/officeDocument/2006/relationships/hyperlink" Target="https://gallica.bnf.fr/ark:/12148/bpt6k1204477t/f168.item" TargetMode="External"/><Relationship Id="rId133" Type="http://schemas.openxmlformats.org/officeDocument/2006/relationships/hyperlink" Target="https://gallica.bnf.fr/ark:/12148/bpt6k115289k/f27.item" TargetMode="External"/><Relationship Id="rId175" Type="http://schemas.openxmlformats.org/officeDocument/2006/relationships/hyperlink" Target="https://obvil.sorbonne-universite.fr/corpus/mercure-galant/MG-1679-06" TargetMode="External"/><Relationship Id="rId340" Type="http://schemas.openxmlformats.org/officeDocument/2006/relationships/hyperlink" Target="https://gallica.bnf.fr/ark:/12148/bpt6k6517241g/f276.item" TargetMode="External"/><Relationship Id="rId578" Type="http://schemas.openxmlformats.org/officeDocument/2006/relationships/hyperlink" Target="https://gallica.bnf.fr/ark:/12148/bpt6k6284491b/f248.item" TargetMode="External"/><Relationship Id="rId743" Type="http://schemas.openxmlformats.org/officeDocument/2006/relationships/hyperlink" Target="http://bases-iremus.huma-num.fr/directus-rar/admin/content/personnes/69c20264-52ea-4566-a815-7123844fac19" TargetMode="External"/><Relationship Id="rId785" Type="http://schemas.openxmlformats.org/officeDocument/2006/relationships/hyperlink" Target="https://gallica.bnf.fr/ark:/12148/bpt6k63092665/f141.item" TargetMode="External"/><Relationship Id="rId200" Type="http://schemas.openxmlformats.org/officeDocument/2006/relationships/hyperlink" Target="https://gallica.bnf.fr/ark:/12148/bpt6k6220333n/f380.item" TargetMode="External"/><Relationship Id="rId382" Type="http://schemas.openxmlformats.org/officeDocument/2006/relationships/hyperlink" Target="http://bases-iremus.huma-num.fr/directus-rar/admin/content/personnes/9f7e3294-4a5c-4896-8b95-9a63c33d15b5" TargetMode="External"/><Relationship Id="rId438" Type="http://schemas.openxmlformats.org/officeDocument/2006/relationships/hyperlink" Target="http://bases-iremus.huma-num.fr/directus-rar/admin/content/personnes/9f7e3294-4a5c-4896-8b95-9a63c33d15b5" TargetMode="External"/><Relationship Id="rId603" Type="http://schemas.openxmlformats.org/officeDocument/2006/relationships/hyperlink" Target="https://books.openedition.org/pur/103724?lang=fr" TargetMode="External"/><Relationship Id="rId645" Type="http://schemas.openxmlformats.org/officeDocument/2006/relationships/hyperlink" Target="https://books.google.fr/books?id=Q12QSv6DvY4C&amp;pg=PA197&amp;lpg=PA197&amp;dq=Providenter.+Philisburgum+expugnatum&amp;source=bl&amp;ots=6JBC65_pDY&amp;sig=ACfU3U3QT8b7OcnKqPfjWVGup6B7EuyWVQ&amp;hl=fr&amp;sa=X&amp;ved=2ahUKEwjoxvSB_cL1AhVLzoUKHb5kCNYQ6AF6BAgHEAM" TargetMode="External"/><Relationship Id="rId687" Type="http://schemas.openxmlformats.org/officeDocument/2006/relationships/hyperlink" Target="https://gallica.bnf.fr/ark:/12148/bpt6k63092680/f162.item" TargetMode="External"/><Relationship Id="rId242" Type="http://schemas.openxmlformats.org/officeDocument/2006/relationships/hyperlink" Target="http://bases-iremus.huma-num.fr/directus-rar/admin/content/personnes/5cbb52dc-c979-473b-b7fc-88b39da51d7d" TargetMode="External"/><Relationship Id="rId284" Type="http://schemas.openxmlformats.org/officeDocument/2006/relationships/hyperlink" Target="https://gallica.bnf.fr/ark:/12148/bpt6k6220868k/f232.item" TargetMode="External"/><Relationship Id="rId491" Type="http://schemas.openxmlformats.org/officeDocument/2006/relationships/hyperlink" Target="https://gallica.bnf.fr/ark:/12148/bpt6k6228696p/f322.item" TargetMode="External"/><Relationship Id="rId505" Type="http://schemas.openxmlformats.org/officeDocument/2006/relationships/hyperlink" Target="http://bases-iremus.huma-num.fr/directus-rar/admin/content/personnes/e2dbb2a6-12b1-465c-b0a0-471c82625b20" TargetMode="External"/><Relationship Id="rId712" Type="http://schemas.openxmlformats.org/officeDocument/2006/relationships/hyperlink" Target="http://bases-iremus.huma-num.fr/directus-rar/admin/content/personnes/69c20264-52ea-4566-a815-7123844fac19" TargetMode="External"/><Relationship Id="rId37" Type="http://schemas.openxmlformats.org/officeDocument/2006/relationships/hyperlink" Target="https://gallica.bnf.fr/ark:/12148/btv1b71002121/f1.item.zoom" TargetMode="External"/><Relationship Id="rId79" Type="http://schemas.openxmlformats.org/officeDocument/2006/relationships/hyperlink" Target="https://gallica.bnf.fr/ark:/12148/bpt6k4227113z/f56.item" TargetMode="External"/><Relationship Id="rId102" Type="http://schemas.openxmlformats.org/officeDocument/2006/relationships/hyperlink" Target="http://bases-iremus.huma-num.fr/directus-rar/admin/content/personnes/f1664b08-5956-4999-b1a7-32c60eec279f" TargetMode="External"/><Relationship Id="rId144" Type="http://schemas.openxmlformats.org/officeDocument/2006/relationships/hyperlink" Target="https://gallica.bnf.fr/ark:/12148/bpt6k6373165g/f8.item" TargetMode="External"/><Relationship Id="rId547" Type="http://schemas.openxmlformats.org/officeDocument/2006/relationships/hyperlink" Target="https://gallica.bnf.fr/ark:/12148/bpt6k6222592t/f193.item" TargetMode="External"/><Relationship Id="rId589" Type="http://schemas.openxmlformats.org/officeDocument/2006/relationships/hyperlink" Target="https://gallica.bnf.fr/ark:/12148/bpt6k6228057h/f148.item" TargetMode="External"/><Relationship Id="rId754" Type="http://schemas.openxmlformats.org/officeDocument/2006/relationships/hyperlink" Target="https://gallica.bnf.fr/ark:/12148/bpt6k62692907/f294.item" TargetMode="External"/><Relationship Id="rId90" Type="http://schemas.openxmlformats.org/officeDocument/2006/relationships/hyperlink" Target="https://obvil.sorbonne-universite.fr/corpus/mercure-galant/MG-1678-06e" TargetMode="External"/><Relationship Id="rId186" Type="http://schemas.openxmlformats.org/officeDocument/2006/relationships/hyperlink" Target="https://gallica.bnf.fr/ark:/12148/bpt6k6219069r/f337.item" TargetMode="External"/><Relationship Id="rId351" Type="http://schemas.openxmlformats.org/officeDocument/2006/relationships/hyperlink" Target="https://gallica.bnf.fr/ark:/12148/bpt6k6220545j/f102.item" TargetMode="External"/><Relationship Id="rId393" Type="http://schemas.openxmlformats.org/officeDocument/2006/relationships/hyperlink" Target="https://gallica.bnf.fr/ark:/12148/bpt6k65172454/f109.item" TargetMode="External"/><Relationship Id="rId407" Type="http://schemas.openxmlformats.org/officeDocument/2006/relationships/hyperlink" Target="https://obvil.sorbonne-universite.fr/corpus/mercure-galant/MG-1682-10b" TargetMode="External"/><Relationship Id="rId449" Type="http://schemas.openxmlformats.org/officeDocument/2006/relationships/hyperlink" Target="https://obvil.sorbonne-universite.fr/corpus/mercure-galant/MG-1683-10a" TargetMode="External"/><Relationship Id="rId614" Type="http://schemas.openxmlformats.org/officeDocument/2006/relationships/hyperlink" Target="https://gallica.bnf.fr/ark:/12148/bpt6k6257820r/f165.item" TargetMode="External"/><Relationship Id="rId656" Type="http://schemas.openxmlformats.org/officeDocument/2006/relationships/hyperlink" Target="https://gallica.bnf.fr/ark:/12148/bpt6k1041715f/f499.item.zoom" TargetMode="External"/><Relationship Id="rId211" Type="http://schemas.openxmlformats.org/officeDocument/2006/relationships/hyperlink" Target="https://obvil.sorbonne-universite.fr/corpus/mercure-galant/MG-1679-11" TargetMode="External"/><Relationship Id="rId253" Type="http://schemas.openxmlformats.org/officeDocument/2006/relationships/hyperlink" Target="https://gallica.bnf.fr/ark:/12148/bpt6k6544125x/f314.item" TargetMode="External"/><Relationship Id="rId295" Type="http://schemas.openxmlformats.org/officeDocument/2006/relationships/hyperlink" Target="https://gallica.bnf.fr/ark:/12148/bpt6k6373219k/f204.item" TargetMode="External"/><Relationship Id="rId309" Type="http://schemas.openxmlformats.org/officeDocument/2006/relationships/hyperlink" Target="https://obvil.sorbonne-universite.fr/corpus/mercure-galant/MG-1681-03" TargetMode="External"/><Relationship Id="rId460" Type="http://schemas.openxmlformats.org/officeDocument/2006/relationships/hyperlink" Target="https://gallica.bnf.fr/ark:/12148/bpt6k6227446s/f329.item" TargetMode="External"/><Relationship Id="rId516" Type="http://schemas.openxmlformats.org/officeDocument/2006/relationships/hyperlink" Target="https://gallica.bnf.fr/ark:/12148/bpt6k63097627/f225.item" TargetMode="External"/><Relationship Id="rId698" Type="http://schemas.openxmlformats.org/officeDocument/2006/relationships/hyperlink" Target="https://gallica.bnf.fr/ark:/12148/bpt6k6309735b/f147.item" TargetMode="External"/><Relationship Id="rId48" Type="http://schemas.openxmlformats.org/officeDocument/2006/relationships/hyperlink" Target="https://opentheso5.mom.fr/opentheso5/?idc=berain_jean_(1640-1711)&amp;idt=25" TargetMode="External"/><Relationship Id="rId113" Type="http://schemas.openxmlformats.org/officeDocument/2006/relationships/hyperlink" Target="https://gallica.bnf.fr/ark:/12148/bpt6k6383830z/f152.item" TargetMode="External"/><Relationship Id="rId320" Type="http://schemas.openxmlformats.org/officeDocument/2006/relationships/hyperlink" Target="http://bases-iremus.huma-num.fr/directus-rar/admin/content/personnes/4869b53e-5c43-4d53-a364-b8e40e2f6a22" TargetMode="External"/><Relationship Id="rId558" Type="http://schemas.openxmlformats.org/officeDocument/2006/relationships/hyperlink" Target="https://gallica.bnf.fr/ark:/12148/bpt6k1041715f/f391.item.zoom" TargetMode="External"/><Relationship Id="rId723" Type="http://schemas.openxmlformats.org/officeDocument/2006/relationships/hyperlink" Target="http://bases-iremus.huma-num.fr/directus-rar/admin/content/personnes/69c20264-52ea-4566-a815-7123844fac19" TargetMode="External"/><Relationship Id="rId765" Type="http://schemas.openxmlformats.org/officeDocument/2006/relationships/hyperlink" Target="http://bases-iremus.huma-num.fr/directus-rar/admin/content/personnes/69c20264-52ea-4566-a815-7123844fac19" TargetMode="External"/><Relationship Id="rId155" Type="http://schemas.openxmlformats.org/officeDocument/2006/relationships/hyperlink" Target="https://gallica.bnf.fr/ark:/12148/bpt6k4227090d/f120.item" TargetMode="External"/><Relationship Id="rId197" Type="http://schemas.openxmlformats.org/officeDocument/2006/relationships/hyperlink" Target="https://catalogue.bnf.fr/ark:/12148/cb41504245z" TargetMode="External"/><Relationship Id="rId362" Type="http://schemas.openxmlformats.org/officeDocument/2006/relationships/hyperlink" Target="https://obvil.sorbonne-universite.fr/corpus/mercure-galant/MG-1681-12e" TargetMode="External"/><Relationship Id="rId418" Type="http://schemas.openxmlformats.org/officeDocument/2006/relationships/hyperlink" Target="https://obvil.sorbonne-universite.fr/corpus/mercure-galant/MG-1683-01" TargetMode="External"/><Relationship Id="rId625" Type="http://schemas.openxmlformats.org/officeDocument/2006/relationships/hyperlink" Target="https://obvil.sorbonne-universite.fr/corpus/mercure-galant/MG-1692-02a" TargetMode="External"/><Relationship Id="rId222" Type="http://schemas.openxmlformats.org/officeDocument/2006/relationships/hyperlink" Target="https://gallica.bnf.fr/ark:/12148/bpt6k6220794q/f276.item" TargetMode="External"/><Relationship Id="rId264" Type="http://schemas.openxmlformats.org/officeDocument/2006/relationships/hyperlink" Target="http://bases-iremus.huma-num.fr/directus-rar/admin/content/personnes/9f7e3294-4a5c-4896-8b95-9a63c33d15b5" TargetMode="External"/><Relationship Id="rId471" Type="http://schemas.openxmlformats.org/officeDocument/2006/relationships/hyperlink" Target="https://gallica.bnf.fr/ark:/12148/bpt6k6373775x/f220.item" TargetMode="External"/><Relationship Id="rId667" Type="http://schemas.openxmlformats.org/officeDocument/2006/relationships/hyperlink" Target="https://obvil.sorbonne-universite.fr/corpus/mercure-galant/MG-1694-04" TargetMode="External"/><Relationship Id="rId17" Type="http://schemas.openxmlformats.org/officeDocument/2006/relationships/hyperlink" Target="https://gallica.bnf.fr/ark:/12148/bpt6k42267730/f107.item" TargetMode="External"/><Relationship Id="rId59" Type="http://schemas.openxmlformats.org/officeDocument/2006/relationships/hyperlink" Target="https://obvil.sorbonne-universite.fr/corpus/mercure-galant/MG-1678-03" TargetMode="External"/><Relationship Id="rId124" Type="http://schemas.openxmlformats.org/officeDocument/2006/relationships/hyperlink" Target="https://estampe.hypotheses.org/tag/antoine-trouvain" TargetMode="External"/><Relationship Id="rId527" Type="http://schemas.openxmlformats.org/officeDocument/2006/relationships/hyperlink" Target="https://gallica.bnf.fr/ark:/12148/bpt6k6225966n/f215.item" TargetMode="External"/><Relationship Id="rId569" Type="http://schemas.openxmlformats.org/officeDocument/2006/relationships/hyperlink" Target="http://bases-iremus.huma-num.fr/directus-rar/admin/content/personnes/4822e333-ae92-43c7-b54f-ce7869891404" TargetMode="External"/><Relationship Id="rId734" Type="http://schemas.openxmlformats.org/officeDocument/2006/relationships/hyperlink" Target="http://bases-iremus.huma-num.fr/directus-rar/admin/content/personnes/69c20264-52ea-4566-a815-7123844fac19" TargetMode="External"/><Relationship Id="rId776" Type="http://schemas.openxmlformats.org/officeDocument/2006/relationships/hyperlink" Target="https://gallica.bnf.fr/ark:/12148/bpt6k62914819/f167.item" TargetMode="External"/><Relationship Id="rId70" Type="http://schemas.openxmlformats.org/officeDocument/2006/relationships/hyperlink" Target="http://bases-iremus.huma-num.fr/directus-rar/admin/content/personnes/5973bf39-1e85-44ed-b500-163109eaa6e9" TargetMode="External"/><Relationship Id="rId166" Type="http://schemas.openxmlformats.org/officeDocument/2006/relationships/hyperlink" Target="https://obvil.sorbonne-universite.fr/corpus/mercure-galant/MG-1679-01" TargetMode="External"/><Relationship Id="rId331" Type="http://schemas.openxmlformats.org/officeDocument/2006/relationships/hyperlink" Target="http://bases-iremus.huma-num.fr/directus-rar/admin/content/personnes/9f7e3294-4a5c-4896-8b95-9a63c33d15b5" TargetMode="External"/><Relationship Id="rId373" Type="http://schemas.openxmlformats.org/officeDocument/2006/relationships/hyperlink" Target="https://www.parismuseescollections.paris.fr/fr/petit-palais/oeuvres/vues-d-espagne-vues-de-tolede-palais-royal-de-tolede-dutuit-page-12-robert" TargetMode="External"/><Relationship Id="rId429" Type="http://schemas.openxmlformats.org/officeDocument/2006/relationships/hyperlink" Target="https://gallica.bnf.fr/ark:/12148/bpt6k6248305c/f172.item" TargetMode="External"/><Relationship Id="rId580" Type="http://schemas.openxmlformats.org/officeDocument/2006/relationships/hyperlink" Target="https://obvil.sorbonne-universite.fr/corpus/mercure-galant/MG-1689-12" TargetMode="External"/><Relationship Id="rId636" Type="http://schemas.openxmlformats.org/officeDocument/2006/relationships/hyperlink" Target="https://gallica.bnf.fr/ark:/12148/bpt6k62762732/f183.item" TargetMode="External"/><Relationship Id="rId1" Type="http://schemas.openxmlformats.org/officeDocument/2006/relationships/hyperlink" Target="https://obvil.sorbonne-universite.fr/corpus/mercure-galant/MG-1677-09" TargetMode="External"/><Relationship Id="rId233" Type="http://schemas.openxmlformats.org/officeDocument/2006/relationships/hyperlink" Target="https://obvil.sorbonne-universite.fr/corpus/mercure-galant/MG-1682-02" TargetMode="External"/><Relationship Id="rId440" Type="http://schemas.openxmlformats.org/officeDocument/2006/relationships/hyperlink" Target="https://gallica.bnf.fr/ark:/12148/bpt6k62259531/f284.item" TargetMode="External"/><Relationship Id="rId678" Type="http://schemas.openxmlformats.org/officeDocument/2006/relationships/hyperlink" Target="https://gallica.bnf.fr/ark:/12148/bpt6k6257749w/f167.item" TargetMode="External"/><Relationship Id="rId28" Type="http://schemas.openxmlformats.org/officeDocument/2006/relationships/hyperlink" Target="https://gallica.bnf.fr/ark:/12148/bpt6k4227089r/f377.item" TargetMode="External"/><Relationship Id="rId275" Type="http://schemas.openxmlformats.org/officeDocument/2006/relationships/hyperlink" Target="http://bases-iremus.huma-num.fr/directus-rar/admin/content/personnes/9f7e3294-4a5c-4896-8b95-9a63c33d15b5" TargetMode="External"/><Relationship Id="rId300" Type="http://schemas.openxmlformats.org/officeDocument/2006/relationships/hyperlink" Target="https://gallica.bnf.fr/ark:/12148/bpt6k6218374s/f102.item" TargetMode="External"/><Relationship Id="rId482" Type="http://schemas.openxmlformats.org/officeDocument/2006/relationships/hyperlink" Target="https://gallica.bnf.fr/ark:/12148/bpt6k6227990x/f277.item" TargetMode="External"/><Relationship Id="rId538" Type="http://schemas.openxmlformats.org/officeDocument/2006/relationships/hyperlink" Target="https://gallica.bnf.fr/ark:/12148/bpt6k6221926w/f108.item" TargetMode="External"/><Relationship Id="rId703" Type="http://schemas.openxmlformats.org/officeDocument/2006/relationships/hyperlink" Target="https://gallica.bnf.fr/ark:/12148/bpt6k6258908z/f191.item" TargetMode="External"/><Relationship Id="rId745" Type="http://schemas.openxmlformats.org/officeDocument/2006/relationships/hyperlink" Target="https://doi.org/10.4000/rde.5394" TargetMode="External"/><Relationship Id="rId81" Type="http://schemas.openxmlformats.org/officeDocument/2006/relationships/hyperlink" Target="http://bases-iremus.huma-num.fr/directus-rar/admin/content/personnes/5973bf39-1e85-44ed-b500-163109eaa6e9" TargetMode="External"/><Relationship Id="rId135" Type="http://schemas.openxmlformats.org/officeDocument/2006/relationships/hyperlink" Target="https://gallica.bnf.fr/ark:/12148/bpt6k115289k/f347.item" TargetMode="External"/><Relationship Id="rId177" Type="http://schemas.openxmlformats.org/officeDocument/2006/relationships/hyperlink" Target="https://gallica.bnf.fr/ark:/12148/bpt6k6225207c/f225.item" TargetMode="External"/><Relationship Id="rId342" Type="http://schemas.openxmlformats.org/officeDocument/2006/relationships/hyperlink" Target="https://gallica.bnf.fr/ark:/12148/bpt6k6228808s/f340.item" TargetMode="External"/><Relationship Id="rId384" Type="http://schemas.openxmlformats.org/officeDocument/2006/relationships/hyperlink" Target="https://obvil.sorbonne-universite.fr/corpus/mercure-galant/MG-1682-06" TargetMode="External"/><Relationship Id="rId591" Type="http://schemas.openxmlformats.org/officeDocument/2006/relationships/hyperlink" Target="https://gallica.bnf.fr/ark:/12148/bpt6k6237106h/f244.item" TargetMode="External"/><Relationship Id="rId605" Type="http://schemas.openxmlformats.org/officeDocument/2006/relationships/hyperlink" Target="https://obvil.sorbonne-universite.fr/corpus/mercure-galant/MG-1691-02" TargetMode="External"/><Relationship Id="rId787" Type="http://schemas.openxmlformats.org/officeDocument/2006/relationships/hyperlink" Target="https://gallica.bnf.fr/ark:/12148/bpt6k56069895" TargetMode="External"/><Relationship Id="rId202" Type="http://schemas.openxmlformats.org/officeDocument/2006/relationships/hyperlink" Target="https://gallica.bnf.fr/ark:/12148/bpt6k63348601/f239.item" TargetMode="External"/><Relationship Id="rId244" Type="http://schemas.openxmlformats.org/officeDocument/2006/relationships/hyperlink" Target="https://gallica.bnf.fr/ark:/12148/bpt6k6371918z/f178.item" TargetMode="External"/><Relationship Id="rId647" Type="http://schemas.openxmlformats.org/officeDocument/2006/relationships/hyperlink" Target="https://gallica.bnf.fr/ark:/12148/bpt6k6257822k/f193.item" TargetMode="External"/><Relationship Id="rId689" Type="http://schemas.openxmlformats.org/officeDocument/2006/relationships/hyperlink" Target="https://gallica.bnf.fr/ark:/12148/bpt6k62588239/f251.item" TargetMode="External"/><Relationship Id="rId39" Type="http://schemas.openxmlformats.org/officeDocument/2006/relationships/hyperlink" Target="https://gallica.bnf.fr/ark:/12148/btv1b84053813" TargetMode="External"/><Relationship Id="rId286" Type="http://schemas.openxmlformats.org/officeDocument/2006/relationships/hyperlink" Target="http://bases-iremus.huma-num.fr/directus-rar/admin/content/personnes/9f7e3294-4a5c-4896-8b95-9a63c33d15b5" TargetMode="External"/><Relationship Id="rId451" Type="http://schemas.openxmlformats.org/officeDocument/2006/relationships/hyperlink" Target="http://books.openedition.org/inha/2467" TargetMode="External"/><Relationship Id="rId493" Type="http://schemas.openxmlformats.org/officeDocument/2006/relationships/hyperlink" Target="https://gallica.bnf.fr/ark:/12148/bpt6k6227987f/f267.item" TargetMode="External"/><Relationship Id="rId507" Type="http://schemas.openxmlformats.org/officeDocument/2006/relationships/hyperlink" Target="https://gallica.bnf.fr/ark:/12148/bpt6k6451731t/f90.item" TargetMode="External"/><Relationship Id="rId549" Type="http://schemas.openxmlformats.org/officeDocument/2006/relationships/hyperlink" Target="https://gallica.bnf.fr/ark:/12148/bpt6k6267423w/f322.item*" TargetMode="External"/><Relationship Id="rId714" Type="http://schemas.openxmlformats.org/officeDocument/2006/relationships/hyperlink" Target="https://gallica.bnf.fr/ark:/12148/bpt6k6268932w/f272.item" TargetMode="External"/><Relationship Id="rId756" Type="http://schemas.openxmlformats.org/officeDocument/2006/relationships/hyperlink" Target="https://obvil.sorbonne-universite.fr/corpus/mercure-galant/MG-1702-10a" TargetMode="External"/><Relationship Id="rId50" Type="http://schemas.openxmlformats.org/officeDocument/2006/relationships/hyperlink" Target="https://gallica.bnf.fr/ark:/12148/bpt6k4226770r/f61.item" TargetMode="External"/><Relationship Id="rId104" Type="http://schemas.openxmlformats.org/officeDocument/2006/relationships/hyperlink" Target="https://gallica.bnf.fr/ark:/12148/bpt6k1152886/f86.item" TargetMode="External"/><Relationship Id="rId146" Type="http://schemas.openxmlformats.org/officeDocument/2006/relationships/hyperlink" Target="https://catalogue.bnf.fr/ark:/12148/cb415040651" TargetMode="External"/><Relationship Id="rId188" Type="http://schemas.openxmlformats.org/officeDocument/2006/relationships/hyperlink" Target="https://gallica.bnf.fr/ark:/12148/bpt6k6219069r/f384.item" TargetMode="External"/><Relationship Id="rId311" Type="http://schemas.openxmlformats.org/officeDocument/2006/relationships/hyperlink" Target="https://obvil.sorbonne-universite.fr/corpus/mercure-galant/MG-1681-03" TargetMode="External"/><Relationship Id="rId353" Type="http://schemas.openxmlformats.org/officeDocument/2006/relationships/hyperlink" Target="https://gallica.bnf.fr/ark:/12148/bpt6k65172528/f259.item" TargetMode="External"/><Relationship Id="rId395" Type="http://schemas.openxmlformats.org/officeDocument/2006/relationships/hyperlink" Target="https://obvil.sorbonne-universite.fr/corpus/mercure-galant/MG-1682-08" TargetMode="External"/><Relationship Id="rId409" Type="http://schemas.openxmlformats.org/officeDocument/2006/relationships/hyperlink" Target="https://gallica.bnf.fr/ark:/12148/bpt6k115295d/f145.item" TargetMode="External"/><Relationship Id="rId560" Type="http://schemas.openxmlformats.org/officeDocument/2006/relationships/hyperlink" Target="https://gallica.bnf.fr/ark:/12148/bpt6k62258617/f295.item" TargetMode="External"/><Relationship Id="rId92" Type="http://schemas.openxmlformats.org/officeDocument/2006/relationships/hyperlink" Target="https://obvil.sorbonne-universite.fr/corpus/mercure-galant/MG-1678-07" TargetMode="External"/><Relationship Id="rId213" Type="http://schemas.openxmlformats.org/officeDocument/2006/relationships/hyperlink" Target="https://obvil.sorbonne-universite.fr/corpus/mercure-galant/MG-1679-11" TargetMode="External"/><Relationship Id="rId420" Type="http://schemas.openxmlformats.org/officeDocument/2006/relationships/hyperlink" Target="http://bases-iremus.huma-num.fr/directus-rar/admin/content/personnes/62104205-ccc3-4f31-bcf0-adf828ff0df1" TargetMode="External"/><Relationship Id="rId616" Type="http://schemas.openxmlformats.org/officeDocument/2006/relationships/hyperlink" Target="https://gallica.bnf.fr/ark:/12148/bpt6k6257393x/f165.item" TargetMode="External"/><Relationship Id="rId658" Type="http://schemas.openxmlformats.org/officeDocument/2006/relationships/hyperlink" Target="https://gallica.bnf.fr/ark:/12148/bpt6k6259925s/f329.item" TargetMode="External"/><Relationship Id="rId255" Type="http://schemas.openxmlformats.org/officeDocument/2006/relationships/hyperlink" Target="https://gallica.bnf.fr/ark:/12148/bpt6k62250906/f183.item" TargetMode="External"/><Relationship Id="rId297" Type="http://schemas.openxmlformats.org/officeDocument/2006/relationships/hyperlink" Target="http://bases-iremus.huma-num.fr/directus-rar/admin/content/personnes/9f7e3294-4a5c-4896-8b95-9a63c33d15b5" TargetMode="External"/><Relationship Id="rId462" Type="http://schemas.openxmlformats.org/officeDocument/2006/relationships/hyperlink" Target="https://obvil.sorbonne-universite.fr/corpus/mercure-galant/MG-1684-03" TargetMode="External"/><Relationship Id="rId518" Type="http://schemas.openxmlformats.org/officeDocument/2006/relationships/hyperlink" Target="https://catalogue.bnf.fr/ark:/12148/cb45708975p" TargetMode="External"/><Relationship Id="rId725" Type="http://schemas.openxmlformats.org/officeDocument/2006/relationships/hyperlink" Target="https://gallica.bnf.fr/ark:/12148/bpt6k6317683q/f153.item" TargetMode="External"/><Relationship Id="rId115" Type="http://schemas.openxmlformats.org/officeDocument/2006/relationships/hyperlink" Target="https://estampe.hypotheses.org/tag/antoine-trouvain" TargetMode="External"/><Relationship Id="rId157" Type="http://schemas.openxmlformats.org/officeDocument/2006/relationships/hyperlink" Target="https://gallica.bnf.fr/ark:/12148/bpt6k4227090d/f249.item" TargetMode="External"/><Relationship Id="rId322" Type="http://schemas.openxmlformats.org/officeDocument/2006/relationships/hyperlink" Target="https://gallica.bnf.fr/ark:/12148/bpt6k62252133/f310.item" TargetMode="External"/><Relationship Id="rId364" Type="http://schemas.openxmlformats.org/officeDocument/2006/relationships/hyperlink" Target="https://obvil.sorbonne-universite.fr/corpus/mercure-galant/MG-1682-01" TargetMode="External"/><Relationship Id="rId767" Type="http://schemas.openxmlformats.org/officeDocument/2006/relationships/hyperlink" Target="https://gallica.bnf.fr/ark:/12148/bpt6k6278066v/f181.item" TargetMode="External"/><Relationship Id="rId61" Type="http://schemas.openxmlformats.org/officeDocument/2006/relationships/hyperlink" Target="https://obvil.sorbonne-universite.fr/corpus/mercure-galant/MG-1678-05" TargetMode="External"/><Relationship Id="rId199" Type="http://schemas.openxmlformats.org/officeDocument/2006/relationships/hyperlink" Target="https://obvil.sorbonne-universite.fr/corpus/mercure-galant/MG-1679-09" TargetMode="External"/><Relationship Id="rId571" Type="http://schemas.openxmlformats.org/officeDocument/2006/relationships/hyperlink" Target="https://gallica.bnf.fr/ark:/12148/bpt6k6248540h/f303.item" TargetMode="External"/><Relationship Id="rId627" Type="http://schemas.openxmlformats.org/officeDocument/2006/relationships/hyperlink" Target="https://obvil.sorbonne-universite.fr/corpus/mercure-galant/MG-1692-03" TargetMode="External"/><Relationship Id="rId669" Type="http://schemas.openxmlformats.org/officeDocument/2006/relationships/hyperlink" Target="https://gallica.bnf.fr/ark:/12148/bpt6k62575281/f271.item" TargetMode="External"/><Relationship Id="rId19" Type="http://schemas.openxmlformats.org/officeDocument/2006/relationships/hyperlink" Target="https://obvil.sorbonne-universite.fr/corpus/mercure-galant/MG-1678-03" TargetMode="External"/><Relationship Id="rId224" Type="http://schemas.openxmlformats.org/officeDocument/2006/relationships/hyperlink" Target="https://gallica.bnf.fr/ark:/12148/bpt6k6220794q/f326.item" TargetMode="External"/><Relationship Id="rId266" Type="http://schemas.openxmlformats.org/officeDocument/2006/relationships/hyperlink" Target="http://bases-iremus.huma-num.fr/directus-rar/admin/content/personnes/9f7e3294-4a5c-4896-8b95-9a63c33d15b5" TargetMode="External"/><Relationship Id="rId431" Type="http://schemas.openxmlformats.org/officeDocument/2006/relationships/hyperlink" Target="https://gallica.bnf.fr/ark:/12148/btv1b8406352p" TargetMode="External"/><Relationship Id="rId473" Type="http://schemas.openxmlformats.org/officeDocument/2006/relationships/hyperlink" Target="https://gallica.bnf.fr/ark:/12148/bpt6k6222729r/f140.item" TargetMode="External"/><Relationship Id="rId529" Type="http://schemas.openxmlformats.org/officeDocument/2006/relationships/hyperlink" Target="https://gallica.bnf.fr/ark:/12148/bpt6k6274421d/f171.item*" TargetMode="External"/><Relationship Id="rId680" Type="http://schemas.openxmlformats.org/officeDocument/2006/relationships/hyperlink" Target="https://gallica.bnf.fr/ark:/12148/bpt6k6261854z/f261.item" TargetMode="External"/><Relationship Id="rId736" Type="http://schemas.openxmlformats.org/officeDocument/2006/relationships/hyperlink" Target="http://bases-iremus.huma-num.fr/directus-rar/admin/content/personnes/69c20264-52ea-4566-a815-7123844fac19" TargetMode="External"/><Relationship Id="rId30" Type="http://schemas.openxmlformats.org/officeDocument/2006/relationships/hyperlink" Target="https://obvil.sorbonne-universite.fr/corpus/mercure-galant/MG-1678-03" TargetMode="External"/><Relationship Id="rId126" Type="http://schemas.openxmlformats.org/officeDocument/2006/relationships/hyperlink" Target="https://gallica.bnf.fr/ark:/12148/bpt6k115291w/f375.item" TargetMode="External"/><Relationship Id="rId168" Type="http://schemas.openxmlformats.org/officeDocument/2006/relationships/hyperlink" Target="https://gallica.bnf.fr/ark:/12148/bpt6k4227057s/f208.item" TargetMode="External"/><Relationship Id="rId333" Type="http://schemas.openxmlformats.org/officeDocument/2006/relationships/hyperlink" Target="http://bases-iremus.huma-num.fr/directus-rar/admin/content/personnes/9f7e3294-4a5c-4896-8b95-9a63c33d15b5" TargetMode="External"/><Relationship Id="rId540" Type="http://schemas.openxmlformats.org/officeDocument/2006/relationships/hyperlink" Target="https://gallica.bnf.fr/ark:/12148/bpt6k6223840f/f150.item" TargetMode="External"/><Relationship Id="rId778" Type="http://schemas.openxmlformats.org/officeDocument/2006/relationships/hyperlink" Target="https://catalogue.bnf.fr/ark:/12148/cb41970993x" TargetMode="External"/><Relationship Id="rId72" Type="http://schemas.openxmlformats.org/officeDocument/2006/relationships/hyperlink" Target="https://opentheso3.mom.fr/opentheso3/?idc=297485&amp;idt=43" TargetMode="External"/><Relationship Id="rId375" Type="http://schemas.openxmlformats.org/officeDocument/2006/relationships/hyperlink" Target="https://www.parismuseescollections.paris.fr/fr/petit-palais/oeuvres/vues-d-espagne-vues-de-tolede-palais-royal-de-tolede-dutuit-page-12-robert" TargetMode="External"/><Relationship Id="rId582" Type="http://schemas.openxmlformats.org/officeDocument/2006/relationships/hyperlink" Target="https://gallica.bnf.fr/ark:/12148/bpt6k62604815/f158.item" TargetMode="External"/><Relationship Id="rId638" Type="http://schemas.openxmlformats.org/officeDocument/2006/relationships/hyperlink" Target="https://gallica.bnf.fr/ark:/12148/bpt6k6312498x/f177.item" TargetMode="External"/><Relationship Id="rId3" Type="http://schemas.openxmlformats.org/officeDocument/2006/relationships/hyperlink" Target="https://gallica.bnf.fr/ark:/12148/bpt6k4226928v/f7.item" TargetMode="External"/><Relationship Id="rId235" Type="http://schemas.openxmlformats.org/officeDocument/2006/relationships/hyperlink" Target="http://bases-iremus.huma-num.fr/directus-rar/admin/content/personnes/5cbb52dc-c979-473b-b7fc-88b39da51d7d" TargetMode="External"/><Relationship Id="rId277" Type="http://schemas.openxmlformats.org/officeDocument/2006/relationships/hyperlink" Target="https://gallica.bnf.fr/ark:/12148/bpt6k6559580b/f265.item" TargetMode="External"/><Relationship Id="rId400" Type="http://schemas.openxmlformats.org/officeDocument/2006/relationships/hyperlink" Target="https://obvil.sorbonne-universite.fr/corpus/mercure-galant/MG-1682-09b" TargetMode="External"/><Relationship Id="rId442" Type="http://schemas.openxmlformats.org/officeDocument/2006/relationships/hyperlink" Target="https://gallica.bnf.fr/ark:/12148/bpt6k6228012x/f206.item" TargetMode="External"/><Relationship Id="rId484" Type="http://schemas.openxmlformats.org/officeDocument/2006/relationships/hyperlink" Target="https://gallica.bnf.fr/ark:/12148/bpt6k6373523h/f192.item" TargetMode="External"/><Relationship Id="rId705" Type="http://schemas.openxmlformats.org/officeDocument/2006/relationships/hyperlink" Target="https://gallica.bnf.fr/ark:/12148/bpt6k62587051/f181.item" TargetMode="External"/><Relationship Id="rId137" Type="http://schemas.openxmlformats.org/officeDocument/2006/relationships/hyperlink" Target="https://gallica.bnf.fr/ark:/12148/bpt6k115289k/f385.item" TargetMode="External"/><Relationship Id="rId302" Type="http://schemas.openxmlformats.org/officeDocument/2006/relationships/hyperlink" Target="https://gallica.bnf.fr/ark:/12148/bpt6k6218374s/f342.item" TargetMode="External"/><Relationship Id="rId344" Type="http://schemas.openxmlformats.org/officeDocument/2006/relationships/hyperlink" Target="https://gallica.bnf.fr/ark:/12148/bpt6k63740307/f226.item" TargetMode="External"/><Relationship Id="rId691" Type="http://schemas.openxmlformats.org/officeDocument/2006/relationships/hyperlink" Target="https://gallica.bnf.fr/ark:/12148/bpt6k6319366s/f171.item" TargetMode="External"/><Relationship Id="rId747" Type="http://schemas.openxmlformats.org/officeDocument/2006/relationships/hyperlink" Target="http://bases-iremus.huma-num.fr/directus-rar/admin/content/personnes/69c20264-52ea-4566-a815-7123844fac19" TargetMode="External"/><Relationship Id="rId789" Type="http://schemas.openxmlformats.org/officeDocument/2006/relationships/hyperlink" Target="https://www.persee.fr/doc/bsnaf_0081-1181_2012_num_2006_1_10985" TargetMode="External"/><Relationship Id="rId41" Type="http://schemas.openxmlformats.org/officeDocument/2006/relationships/hyperlink" Target="https://gallica.bnf.fr/ark:/12148/btv1b7100181x" TargetMode="External"/><Relationship Id="rId83" Type="http://schemas.openxmlformats.org/officeDocument/2006/relationships/hyperlink" Target="https://gallica.bnf.fr/ark:/12148/bpt6k4227113z/f69.item" TargetMode="External"/><Relationship Id="rId179" Type="http://schemas.openxmlformats.org/officeDocument/2006/relationships/hyperlink" Target="https://obvil.sorbonne-universite.fr/corpus/mercure-galant/MG-1679-06" TargetMode="External"/><Relationship Id="rId386" Type="http://schemas.openxmlformats.org/officeDocument/2006/relationships/hyperlink" Target="http://bases-iremus.huma-num.fr/directus-rar/admin/content/personnes/9f7e3294-4a5c-4896-8b95-9a63c33d15b5" TargetMode="External"/><Relationship Id="rId551" Type="http://schemas.openxmlformats.org/officeDocument/2006/relationships/hyperlink" Target="https://catalogue.bnf.fr/ark:/12148/cb410813997" TargetMode="External"/><Relationship Id="rId593" Type="http://schemas.openxmlformats.org/officeDocument/2006/relationships/hyperlink" Target="https://obvil.sorbonne-universite.fr/corpus/mercure-galant/MG-1690-09" TargetMode="External"/><Relationship Id="rId607" Type="http://schemas.openxmlformats.org/officeDocument/2006/relationships/hyperlink" Target="https://obvil.sorbonne-universite.fr/corpus/mercure-galant/MG-1691-04" TargetMode="External"/><Relationship Id="rId649" Type="http://schemas.openxmlformats.org/officeDocument/2006/relationships/hyperlink" Target="https://catalogue.bnf.fr/ark:/12148/cb41504962g" TargetMode="External"/><Relationship Id="rId190" Type="http://schemas.openxmlformats.org/officeDocument/2006/relationships/hyperlink" Target="https://gallica.bnf.fr/ark:/12148/bpt6k6487244d/f161.item" TargetMode="External"/><Relationship Id="rId204" Type="http://schemas.openxmlformats.org/officeDocument/2006/relationships/hyperlink" Target="https://obvil.sorbonne-universite.fr/corpus/mercure-galant/MG-1679-10b" TargetMode="External"/><Relationship Id="rId246" Type="http://schemas.openxmlformats.org/officeDocument/2006/relationships/hyperlink" Target="https://obvil.sorbonne-universite.fr/corpus/mercure-galant/MG-1680-04" TargetMode="External"/><Relationship Id="rId288" Type="http://schemas.openxmlformats.org/officeDocument/2006/relationships/hyperlink" Target="https://gallica.bnf.fr/ark:/12148/bpt6k6220868k/f358.item" TargetMode="External"/><Relationship Id="rId411" Type="http://schemas.openxmlformats.org/officeDocument/2006/relationships/hyperlink" Target="https://catalogue.bnf.fr/ark:/12148/cb41504299w" TargetMode="External"/><Relationship Id="rId453" Type="http://schemas.openxmlformats.org/officeDocument/2006/relationships/hyperlink" Target="https://gallica.bnf.fr/ark:/12148/bpt6k6517197h/f244.item" TargetMode="External"/><Relationship Id="rId509" Type="http://schemas.openxmlformats.org/officeDocument/2006/relationships/hyperlink" Target="https://catalogue.bnf.fr/ark:/12148/cb415053653" TargetMode="External"/><Relationship Id="rId660" Type="http://schemas.openxmlformats.org/officeDocument/2006/relationships/hyperlink" Target="https://www.google.fr/books/edition/Medailles_sur_les_principaux_evenements/TphMAAAAcAAJ?hl=fr&amp;gbpv=1&amp;dq=Ab.+Austro.+Et.+Ab.Aquilone.m%C3%A9daille&amp;pg=PA475&amp;printsec=frontcover" TargetMode="External"/><Relationship Id="rId106" Type="http://schemas.openxmlformats.org/officeDocument/2006/relationships/hyperlink" Target="https://gallica.bnf.fr/ark:/12148/bpt6k1152886/f199.item" TargetMode="External"/><Relationship Id="rId313" Type="http://schemas.openxmlformats.org/officeDocument/2006/relationships/hyperlink" Target="https://obvil.sorbonne-universite.fr/corpus/mercure-galant/MG-1681-03e" TargetMode="External"/><Relationship Id="rId495" Type="http://schemas.openxmlformats.org/officeDocument/2006/relationships/hyperlink" Target="https://gallica.bnf.fr/ark:/12148/bpt6k6227588g/f293.item" TargetMode="External"/><Relationship Id="rId716" Type="http://schemas.openxmlformats.org/officeDocument/2006/relationships/hyperlink" Target="http://bases-iremus.huma-num.fr/directus-rar/admin/content/personnes/69c20264-52ea-4566-a815-7123844fac19" TargetMode="External"/><Relationship Id="rId758" Type="http://schemas.openxmlformats.org/officeDocument/2006/relationships/hyperlink" Target="https://gallica.bnf.fr/ark:/12148/bpt6k63925957/f153.item" TargetMode="External"/><Relationship Id="rId10" Type="http://schemas.openxmlformats.org/officeDocument/2006/relationships/hyperlink" Target="https://gallica.bnf.fr/ark:/12148/bpt6k4226928v/f183.item" TargetMode="External"/><Relationship Id="rId52" Type="http://schemas.openxmlformats.org/officeDocument/2006/relationships/hyperlink" Target="https://gallica.bnf.fr/ark:/12148/bpt6k4226770r/f261.item" TargetMode="External"/><Relationship Id="rId94" Type="http://schemas.openxmlformats.org/officeDocument/2006/relationships/hyperlink" Target="https://gallica.bnf.fr/ark:/12148/bpt6k115287t/f352.item" TargetMode="External"/><Relationship Id="rId148" Type="http://schemas.openxmlformats.org/officeDocument/2006/relationships/hyperlink" Target="https://catalogue.bnf.fr/ark:/12148/cb415040620" TargetMode="External"/><Relationship Id="rId355" Type="http://schemas.openxmlformats.org/officeDocument/2006/relationships/hyperlink" Target="http://bases-iremus.huma-num.fr/directus-rar/admin/content/personnes/9f7e3294-4a5c-4896-8b95-9a63c33d15b5" TargetMode="External"/><Relationship Id="rId397" Type="http://schemas.openxmlformats.org/officeDocument/2006/relationships/hyperlink" Target="https://gallica.bnf.fr/ark:/12148/bpt6k115296s/f123.item" TargetMode="External"/><Relationship Id="rId520" Type="http://schemas.openxmlformats.org/officeDocument/2006/relationships/hyperlink" Target="https://gallica.bnf.fr/ark:/12148/bpt6k62624893/f175.item" TargetMode="External"/><Relationship Id="rId562" Type="http://schemas.openxmlformats.org/officeDocument/2006/relationships/hyperlink" Target="https://gallica.bnf.fr/ark:/12148/bpt6k62485608/f232.item" TargetMode="External"/><Relationship Id="rId618" Type="http://schemas.openxmlformats.org/officeDocument/2006/relationships/hyperlink" Target="https://obvil.sorbonne-universite.fr/corpus/mercure-galant/MG-1691-11" TargetMode="External"/><Relationship Id="rId215" Type="http://schemas.openxmlformats.org/officeDocument/2006/relationships/hyperlink" Target="https://gallica.bnf.fr/ark:/12148/bpt6k62222098/f146.item" TargetMode="External"/><Relationship Id="rId257" Type="http://schemas.openxmlformats.org/officeDocument/2006/relationships/hyperlink" Target="http://bases-iremus.huma-num.fr/directus-rar/admin/content/personnes/9f7e3294-4a5c-4896-8b95-9a63c33d15b5" TargetMode="External"/><Relationship Id="rId422" Type="http://schemas.openxmlformats.org/officeDocument/2006/relationships/hyperlink" Target="https://gallica.bnf.fr/ark:/12148/bpt6k62251464/f236.item" TargetMode="External"/><Relationship Id="rId464" Type="http://schemas.openxmlformats.org/officeDocument/2006/relationships/hyperlink" Target="https://gallica.bnf.fr/ark:/12148/bpt6k62182375/f253.item" TargetMode="External"/><Relationship Id="rId299" Type="http://schemas.openxmlformats.org/officeDocument/2006/relationships/hyperlink" Target="https://obvil.sorbonne-universite.fr/corpus/mercure-galant/MG-1681-01" TargetMode="External"/><Relationship Id="rId727" Type="http://schemas.openxmlformats.org/officeDocument/2006/relationships/hyperlink" Target="https://gallica.bnf.fr/ark:/12148/bpt6k62592187/f273.item" TargetMode="External"/><Relationship Id="rId63" Type="http://schemas.openxmlformats.org/officeDocument/2006/relationships/hyperlink" Target="http://bases-iremus.huma-num.fr/directus-rar/admin/content/personnes/67d8e548-75c3-4e0e-8a82-a7eee418d343" TargetMode="External"/><Relationship Id="rId159" Type="http://schemas.openxmlformats.org/officeDocument/2006/relationships/hyperlink" Target="https://obvil.sorbonne-universite.fr/corpus/mercure-galant/MG-1679-03" TargetMode="External"/><Relationship Id="rId366" Type="http://schemas.openxmlformats.org/officeDocument/2006/relationships/hyperlink" Target="https://gallica.bnf.fr/ark:/12148/bpt6k6517214k/f106.item" TargetMode="External"/><Relationship Id="rId573" Type="http://schemas.openxmlformats.org/officeDocument/2006/relationships/hyperlink" Target="https://gallica.bnf.fr/ark:/12148/btv1b84067166" TargetMode="External"/><Relationship Id="rId780" Type="http://schemas.openxmlformats.org/officeDocument/2006/relationships/hyperlink" Target="http://bases-iremus.huma-num.fr/directus-rar/admin/content/personnes/69c20264-52ea-4566-a815-7123844fac19" TargetMode="External"/><Relationship Id="rId226" Type="http://schemas.openxmlformats.org/officeDocument/2006/relationships/hyperlink" Target="https://gallica.bnf.fr/ark:/12148/bpt6k6215648d/f215.item" TargetMode="External"/><Relationship Id="rId433" Type="http://schemas.openxmlformats.org/officeDocument/2006/relationships/hyperlink" Target="https://gallica.bnf.fr/ark:/12148/btv1b8406333b" TargetMode="External"/><Relationship Id="rId640" Type="http://schemas.openxmlformats.org/officeDocument/2006/relationships/hyperlink" Target="https://gallica.bnf.fr/ark:/12148/bpt6k6257409b/f229.item" TargetMode="External"/><Relationship Id="rId738" Type="http://schemas.openxmlformats.org/officeDocument/2006/relationships/hyperlink" Target="https://gallica.bnf.fr/ark:/12148/bpt6k6262137b/f169.item" TargetMode="External"/><Relationship Id="rId74" Type="http://schemas.openxmlformats.org/officeDocument/2006/relationships/hyperlink" Target="https://obvil.sorbonne-universite.fr/corpus/mercure-galant/MG-1678-05" TargetMode="External"/><Relationship Id="rId377" Type="http://schemas.openxmlformats.org/officeDocument/2006/relationships/hyperlink" Target="http://bases-iremus.huma-num.fr/directus-rar/admin/content/personnes/9f7e3294-4a5c-4896-8b95-9a63c33d15b5" TargetMode="External"/><Relationship Id="rId500" Type="http://schemas.openxmlformats.org/officeDocument/2006/relationships/hyperlink" Target="https://gallica.bnf.fr/ark:/12148/bpt6k6438001w/f216.item" TargetMode="External"/><Relationship Id="rId584" Type="http://schemas.openxmlformats.org/officeDocument/2006/relationships/hyperlink" Target="https://obvil.sorbonne-universite.fr/corpus/mercure-galant/MG-1690-02" TargetMode="External"/><Relationship Id="rId5" Type="http://schemas.openxmlformats.org/officeDocument/2006/relationships/hyperlink" Target="https://gallica.bnf.fr/ark:/12148/bpt6k4226928v/f68.item" TargetMode="External"/><Relationship Id="rId237" Type="http://schemas.openxmlformats.org/officeDocument/2006/relationships/hyperlink" Target="https://obvil.sorbonne-universite.fr/corpus/mercure-galant/MG-1680-03b" TargetMode="External"/><Relationship Id="rId791" Type="http://schemas.openxmlformats.org/officeDocument/2006/relationships/hyperlink" Target="https://gallica.bnf.fr/ark:/12148/bpt6k6373444b/f434.item" TargetMode="External"/><Relationship Id="rId444" Type="http://schemas.openxmlformats.org/officeDocument/2006/relationships/hyperlink" Target="https://gallica.bnf.fr/ark:/12148/bpt6k6228012x/f396.item" TargetMode="External"/><Relationship Id="rId651" Type="http://schemas.openxmlformats.org/officeDocument/2006/relationships/hyperlink" Target="https://gallica.bnf.fr/ark:/12148/bpt6k6264634f/f195.item" TargetMode="External"/><Relationship Id="rId749" Type="http://schemas.openxmlformats.org/officeDocument/2006/relationships/hyperlink" Target="https://gallica.bnf.fr/ark:/12148/bpt6k6272692j/f72.item" TargetMode="External"/><Relationship Id="rId290" Type="http://schemas.openxmlformats.org/officeDocument/2006/relationships/hyperlink" Target="https://gallica.bnf.fr/ark:/12148/bpt6k65149372/f193.item" TargetMode="External"/><Relationship Id="rId304" Type="http://schemas.openxmlformats.org/officeDocument/2006/relationships/hyperlink" Target="https://gallica.bnf.fr/ark:/12148/bpt6k62182308/f317.item" TargetMode="External"/><Relationship Id="rId388" Type="http://schemas.openxmlformats.org/officeDocument/2006/relationships/hyperlink" Target="https://gallica.bnf.fr/ark:/12148/bpt6k6224583g/f301.item" TargetMode="External"/><Relationship Id="rId511" Type="http://schemas.openxmlformats.org/officeDocument/2006/relationships/hyperlink" Target="https://gallica.bnf.fr/ark:/12148/bpt6k6319354k/f337.item" TargetMode="External"/><Relationship Id="rId609" Type="http://schemas.openxmlformats.org/officeDocument/2006/relationships/hyperlink" Target="https://gallica.bnf.fr/ark:/12148/bpt6k6260870r/f149.item" TargetMode="External"/><Relationship Id="rId85" Type="http://schemas.openxmlformats.org/officeDocument/2006/relationships/hyperlink" Target="http://bases-iremus.huma-num.fr/directus-rar/admin/content/personnes/5973bf39-1e85-44ed-b500-163109eaa6e9" TargetMode="External"/><Relationship Id="rId150" Type="http://schemas.openxmlformats.org/officeDocument/2006/relationships/hyperlink" Target="https://obvil.sorbonne-universite.fr/corpus/mercure-galant/MG-1679-01" TargetMode="External"/><Relationship Id="rId595" Type="http://schemas.openxmlformats.org/officeDocument/2006/relationships/hyperlink" Target="https://gallica.bnf.fr/ark:/12148/bpt6k62789392/f164.item" TargetMode="External"/><Relationship Id="rId248" Type="http://schemas.openxmlformats.org/officeDocument/2006/relationships/hyperlink" Target="https://obvil.sorbonne-universite.fr/corpus/mercure-galant/MG-1680-05" TargetMode="External"/><Relationship Id="rId455" Type="http://schemas.openxmlformats.org/officeDocument/2006/relationships/hyperlink" Target="https://obvil.sorbonne-universite.fr/corpus/mercure-galant/MG-1683-12" TargetMode="External"/><Relationship Id="rId662" Type="http://schemas.openxmlformats.org/officeDocument/2006/relationships/hyperlink" Target="https://gallica.bnf.fr/ark:/12148/bpt6k1041715f/f531.item.zoom" TargetMode="External"/><Relationship Id="rId12" Type="http://schemas.openxmlformats.org/officeDocument/2006/relationships/hyperlink" Target="https://obvil.sorbonne-universite.fr/corpus/mercure-galant/MG-1678-01" TargetMode="External"/><Relationship Id="rId108" Type="http://schemas.openxmlformats.org/officeDocument/2006/relationships/hyperlink" Target="https://gallica.bnf.fr/ark:/12148/bpt6k1152886/f355.item" TargetMode="External"/><Relationship Id="rId315" Type="http://schemas.openxmlformats.org/officeDocument/2006/relationships/hyperlink" Target="https://www.parismuseescollections.paris.fr/fr/petit-palais/oeuvres/vues-d-espagne-vues-de-tolede-palais-royal-de-tolede-dutuit-page-12-robert" TargetMode="External"/><Relationship Id="rId522" Type="http://schemas.openxmlformats.org/officeDocument/2006/relationships/hyperlink" Target="https://obvil.sorbonne-universite.fr/corpus/mercure-galant/MG-1687-02" TargetMode="External"/><Relationship Id="rId96" Type="http://schemas.openxmlformats.org/officeDocument/2006/relationships/hyperlink" Target="https://gallica.bnf.fr/ark:/12148/bpt6k115287t/f377.item" TargetMode="External"/><Relationship Id="rId161" Type="http://schemas.openxmlformats.org/officeDocument/2006/relationships/hyperlink" Target="https://gallica.bnf.fr/ark:/12148/bpt6k42270690/f276.item" TargetMode="External"/><Relationship Id="rId399" Type="http://schemas.openxmlformats.org/officeDocument/2006/relationships/hyperlink" Target="https://catalogue.bnf.fr/ark:/12148/cb41504295h" TargetMode="External"/><Relationship Id="rId259" Type="http://schemas.openxmlformats.org/officeDocument/2006/relationships/hyperlink" Target="https://gallica.bnf.fr/ark:/12148/bpt6k62250906/f331.item" TargetMode="External"/><Relationship Id="rId466" Type="http://schemas.openxmlformats.org/officeDocument/2006/relationships/hyperlink" Target="https://catalogue.bnf.fr/ark:/12148/cb40757380q" TargetMode="External"/><Relationship Id="rId673" Type="http://schemas.openxmlformats.org/officeDocument/2006/relationships/hyperlink" Target="https://gallica.bnf.fr/ark:/12148/bpt6k6232209j/f269.item" TargetMode="External"/><Relationship Id="rId23" Type="http://schemas.openxmlformats.org/officeDocument/2006/relationships/hyperlink" Target="https://gallica.bnf.fr/ark:/12148/bpt6k4227089r/f188.item" TargetMode="External"/><Relationship Id="rId119" Type="http://schemas.openxmlformats.org/officeDocument/2006/relationships/hyperlink" Target="https://gallica.bnf.fr/ark:/12148/bpt6k6383830z/f416.item" TargetMode="External"/><Relationship Id="rId326" Type="http://schemas.openxmlformats.org/officeDocument/2006/relationships/hyperlink" Target="https://gallica.bnf.fr/ark:/12148/bpt6k6517305z/f360.item" TargetMode="External"/><Relationship Id="rId533" Type="http://schemas.openxmlformats.org/officeDocument/2006/relationships/hyperlink" Target="http://bases-iremus.huma-num.fr/directus-rar/admin/content/personnes/5cbb52dc-c979-473b-b7fc-88b39da51d7d" TargetMode="External"/><Relationship Id="rId740" Type="http://schemas.openxmlformats.org/officeDocument/2006/relationships/hyperlink" Target="https://gallica.bnf.fr/ark:/12148/bpt6k6266942n/f80.item" TargetMode="External"/><Relationship Id="rId172" Type="http://schemas.openxmlformats.org/officeDocument/2006/relationships/hyperlink" Target="https://obvil.sorbonne-universite.fr/corpus/mercure-galant/MG-1679-05" TargetMode="External"/><Relationship Id="rId477" Type="http://schemas.openxmlformats.org/officeDocument/2006/relationships/hyperlink" Target="https://gallica.bnf.fr/ark:/12148/bpt6k63706517/f142.item" TargetMode="External"/><Relationship Id="rId600" Type="http://schemas.openxmlformats.org/officeDocument/2006/relationships/hyperlink" Target="https://gallica.bnf.fr/ark:/12148/btv1b550039004" TargetMode="External"/><Relationship Id="rId684" Type="http://schemas.openxmlformats.org/officeDocument/2006/relationships/hyperlink" Target="https://gallica.bnf.fr/ark:/12148/bpt6k6317688s/f108.item" TargetMode="External"/><Relationship Id="rId337" Type="http://schemas.openxmlformats.org/officeDocument/2006/relationships/hyperlink" Target="https://www.photo.rmn.fr/CS.aspx?VP3=SearchResult&amp;VBID=2CMFCIB5J5MDC" TargetMode="External"/><Relationship Id="rId34" Type="http://schemas.openxmlformats.org/officeDocument/2006/relationships/hyperlink" Target="https://opentheso5.mom.fr/opentheso5/?idc=berain_jean_(1640-1711)&amp;idt=25" TargetMode="External"/><Relationship Id="rId544" Type="http://schemas.openxmlformats.org/officeDocument/2006/relationships/hyperlink" Target="https://catalogue.bnf.fr/ark:/12148/cb40653488m" TargetMode="External"/><Relationship Id="rId751" Type="http://schemas.openxmlformats.org/officeDocument/2006/relationships/hyperlink" Target="https://gallica.bnf.fr/ark:/12148/bpt6k6266284k/f317.item" TargetMode="External"/><Relationship Id="rId183" Type="http://schemas.openxmlformats.org/officeDocument/2006/relationships/hyperlink" Target="https://gallica.bnf.fr/ark:/12148/bpt6k6373045c/f237.item" TargetMode="External"/><Relationship Id="rId390" Type="http://schemas.openxmlformats.org/officeDocument/2006/relationships/hyperlink" Target="http://bases-iremus.huma-num.fr/directus-rar/admin/content/personnes/1eb96a7f-597c-4e76-bcb7-d8d3d9681b16" TargetMode="External"/><Relationship Id="rId404" Type="http://schemas.openxmlformats.org/officeDocument/2006/relationships/hyperlink" Target="https://gallica.bnf.fr/ark:/12148/bpt6k6517246j/f235.item" TargetMode="External"/><Relationship Id="rId611" Type="http://schemas.openxmlformats.org/officeDocument/2006/relationships/hyperlink" Target="https://gallica.bnf.fr/ark:/12148/bpt6k64850658/f210.item" TargetMode="External"/><Relationship Id="rId250" Type="http://schemas.openxmlformats.org/officeDocument/2006/relationships/hyperlink" Target="https://gallica.bnf.fr/ark:/12148/bpt6k6544125x)" TargetMode="External"/><Relationship Id="rId488" Type="http://schemas.openxmlformats.org/officeDocument/2006/relationships/hyperlink" Target="https://gallica.bnf.fr/ark:/12148/bpt6k62606895/f297.item" TargetMode="External"/><Relationship Id="rId695" Type="http://schemas.openxmlformats.org/officeDocument/2006/relationships/hyperlink" Target="http://bases-iremus.huma-num.fr/directus-rar/admin/content/personnes/69c20264-52ea-4566-a815-7123844fac19" TargetMode="External"/><Relationship Id="rId709" Type="http://schemas.openxmlformats.org/officeDocument/2006/relationships/hyperlink" Target="https://gallica.bnf.fr/ark:/12148/bpt6k6319351b/f195.item" TargetMode="External"/><Relationship Id="rId45" Type="http://schemas.openxmlformats.org/officeDocument/2006/relationships/hyperlink" Target="https://opentheso5.mom.fr/opentheso5/?idc=berain_jean_(1640-1711)&amp;idt=25" TargetMode="External"/><Relationship Id="rId110" Type="http://schemas.openxmlformats.org/officeDocument/2006/relationships/hyperlink" Target="https://gallica.bnf.fr/ark:/12148/bpt6k1152886/f382.item" TargetMode="External"/><Relationship Id="rId348" Type="http://schemas.openxmlformats.org/officeDocument/2006/relationships/hyperlink" Target="https://gallica.bnf.fr/ark:/12148/bpt6k63740307/f368.item" TargetMode="External"/><Relationship Id="rId555" Type="http://schemas.openxmlformats.org/officeDocument/2006/relationships/hyperlink" Target="https://gallica.bnf.fr/ark:/12148/bpt6k6221484m/f252.item" TargetMode="External"/><Relationship Id="rId762" Type="http://schemas.openxmlformats.org/officeDocument/2006/relationships/hyperlink" Target="https://gallica.bnf.fr/ark:/12148/bpt6k6338660k/f75.item" TargetMode="External"/><Relationship Id="rId194" Type="http://schemas.openxmlformats.org/officeDocument/2006/relationships/hyperlink" Target="https://obvil.sorbonne-universite.fr/corpus/mercure-galant/MG-1679-09" TargetMode="External"/><Relationship Id="rId208" Type="http://schemas.openxmlformats.org/officeDocument/2006/relationships/hyperlink" Target="https://gallica.bnf.fr/ark:/12148/bpt6k6216093g/f184.item" TargetMode="External"/><Relationship Id="rId415" Type="http://schemas.openxmlformats.org/officeDocument/2006/relationships/hyperlink" Target="http://bases-iremus.huma-num.fr/directus-rar/admin/content/personnes/9f7e3294-4a5c-4896-8b95-9a63c33d15b5" TargetMode="External"/><Relationship Id="rId622" Type="http://schemas.openxmlformats.org/officeDocument/2006/relationships/hyperlink" Target="https://books.google.fr/books?id=eexmAAAAcAAJ&amp;pg=PA23&amp;lpg=PA23&amp;dq=Terraque,+marique+m%C3%A9daille&amp;source=bl&amp;ots=4lmu9H9l-f&amp;sig=ACfU3U1mlAVHQCLVD0Bsha7GZ_lF-WMhLQ&amp;hl=fr&amp;sa=X&amp;ved=2ahUKEwia_Ze17tn2AhWLz4UKHSaDDUwQ6AF6BAgEEAM" TargetMode="External"/><Relationship Id="rId261" Type="http://schemas.openxmlformats.org/officeDocument/2006/relationships/hyperlink" Target="https://gallica.bnf.fr/ark:/12148/bpt6k6373043j/f346.item" TargetMode="External"/><Relationship Id="rId499" Type="http://schemas.openxmlformats.org/officeDocument/2006/relationships/hyperlink" Target="https://catalogue.bnf.fr/ark:/12148/cb41504472d" TargetMode="External"/><Relationship Id="rId56" Type="http://schemas.openxmlformats.org/officeDocument/2006/relationships/hyperlink" Target="https://obvil.sorbonne-universite.fr/corpus/mercure-galant/MG-1678-04" TargetMode="External"/><Relationship Id="rId359" Type="http://schemas.openxmlformats.org/officeDocument/2006/relationships/hyperlink" Target="https://gallica.bnf.fr/ark:/12148/bpt6k62281306/f302.item" TargetMode="External"/><Relationship Id="rId566" Type="http://schemas.openxmlformats.org/officeDocument/2006/relationships/hyperlink" Target="https://collections.louvre.fr/en/ark:/53355/cl010393604" TargetMode="External"/><Relationship Id="rId773" Type="http://schemas.openxmlformats.org/officeDocument/2006/relationships/hyperlink" Target="https://gallica.bnf.fr/ark:/12148/bpt6k6290209k/f36.item" TargetMode="External"/><Relationship Id="rId121" Type="http://schemas.openxmlformats.org/officeDocument/2006/relationships/hyperlink" Target="https://gallica.bnf.fr/ark:/12148/bpt6k115291w/f76.item" TargetMode="External"/><Relationship Id="rId219" Type="http://schemas.openxmlformats.org/officeDocument/2006/relationships/hyperlink" Target="https://gallica.bnf.fr/ark:/12148/bpt6k6373215x/f295.item" TargetMode="External"/><Relationship Id="rId426" Type="http://schemas.openxmlformats.org/officeDocument/2006/relationships/hyperlink" Target="https://gallica.bnf.fr/ark:/12148/bpt6k65171963/f332.item" TargetMode="External"/><Relationship Id="rId633" Type="http://schemas.openxmlformats.org/officeDocument/2006/relationships/hyperlink" Target="https://gallica.bnf.fr/ark:/12148/bpt6k1041715f/f191.item.zoom" TargetMode="External"/><Relationship Id="rId67" Type="http://schemas.openxmlformats.org/officeDocument/2006/relationships/hyperlink" Target="https://obvil.sorbonne-universite.fr/corpus/mercure-galant/MG-1678-05" TargetMode="External"/><Relationship Id="rId272" Type="http://schemas.openxmlformats.org/officeDocument/2006/relationships/hyperlink" Target="https://gallica.bnf.fr/ark:/12148/bpt6k62219294/f172.item" TargetMode="External"/><Relationship Id="rId577" Type="http://schemas.openxmlformats.org/officeDocument/2006/relationships/hyperlink" Target="https://gallica.bnf.fr/ark:/12148/bpt6k1041715f/f139.item.zoom" TargetMode="External"/><Relationship Id="rId700" Type="http://schemas.openxmlformats.org/officeDocument/2006/relationships/hyperlink" Target="http://bases-iremus.huma-num.fr/directus-rar/admin/content/personnes/69c20264-52ea-4566-a815-7123844fac19" TargetMode="External"/><Relationship Id="rId132" Type="http://schemas.openxmlformats.org/officeDocument/2006/relationships/hyperlink" Target="https://obvil.sorbonne-universite.fr/corpus/mercure-galant/MG-1678-11" TargetMode="External"/><Relationship Id="rId784" Type="http://schemas.openxmlformats.org/officeDocument/2006/relationships/hyperlink" Target="https://obvil.sorbonne-universite.fr/corpus/mercure-galant/MG-1709-03" TargetMode="External"/><Relationship Id="rId437" Type="http://schemas.openxmlformats.org/officeDocument/2006/relationships/hyperlink" Target="https://gallica.bnf.fr/ark:/12148/bpt6k62253818/f169.item" TargetMode="External"/><Relationship Id="rId644" Type="http://schemas.openxmlformats.org/officeDocument/2006/relationships/hyperlink" Target="https://gallica.bnf.fr/ark:/12148/bpt6k1041715f/f469.item.zoom" TargetMode="External"/><Relationship Id="rId283" Type="http://schemas.openxmlformats.org/officeDocument/2006/relationships/hyperlink" Target="https://gallica.bnf.fr/ark:/12148/bpt6k6222726h/f372.item" TargetMode="External"/><Relationship Id="rId490" Type="http://schemas.openxmlformats.org/officeDocument/2006/relationships/hyperlink" Target="https://gallica.bnf.fr/ark:/12148/bpt6k6228696p/f279.item" TargetMode="External"/><Relationship Id="rId504" Type="http://schemas.openxmlformats.org/officeDocument/2006/relationships/hyperlink" Target="https://gallica.bnf.fr/ark:/12148/bpt6k6258626v/f251.item" TargetMode="External"/><Relationship Id="rId711" Type="http://schemas.openxmlformats.org/officeDocument/2006/relationships/hyperlink" Target="https://gallica.bnf.fr/ark:/12148/bpt6k6260259n/f285.item" TargetMode="External"/><Relationship Id="rId78" Type="http://schemas.openxmlformats.org/officeDocument/2006/relationships/hyperlink" Target="https://obvil.sorbonne-universite.fr/corpus/mercure-galant/MG-1678-05" TargetMode="External"/><Relationship Id="rId143" Type="http://schemas.openxmlformats.org/officeDocument/2006/relationships/hyperlink" Target="https://obvil.sorbonne-universite.fr/corpus/mercure-galant/MG-1679-01" TargetMode="External"/><Relationship Id="rId350" Type="http://schemas.openxmlformats.org/officeDocument/2006/relationships/hyperlink" Target="https://www.parismuseescollections.paris.fr/fr/petit-palais/oeuvres/vues-d-espagne-vues-de-tolede-palais-royal-de-tolede-dutuit-page-12-robert" TargetMode="External"/><Relationship Id="rId588" Type="http://schemas.openxmlformats.org/officeDocument/2006/relationships/hyperlink" Target="https://www.persee.fr/doc/crai_0065-0536_2014_num_158_2_95032" TargetMode="External"/><Relationship Id="rId9" Type="http://schemas.openxmlformats.org/officeDocument/2006/relationships/hyperlink" Target="https://obvil.sorbonne-universite.fr/corpus/mercure-galant/MG-1678-01" TargetMode="External"/><Relationship Id="rId210" Type="http://schemas.openxmlformats.org/officeDocument/2006/relationships/hyperlink" Target="https://gallica.bnf.fr/ark:/12148/bpt6k6218372z/f99.item" TargetMode="External"/><Relationship Id="rId448" Type="http://schemas.openxmlformats.org/officeDocument/2006/relationships/hyperlink" Target="https://gallica.bnf.fr/ark:/12148/bpt6k6222754t/f65.item" TargetMode="External"/><Relationship Id="rId655" Type="http://schemas.openxmlformats.org/officeDocument/2006/relationships/hyperlink" Target="https://gallica.bnf.fr/ark:/12148/bpt6k6319357t/f270.item" TargetMode="External"/><Relationship Id="rId294" Type="http://schemas.openxmlformats.org/officeDocument/2006/relationships/hyperlink" Target="https://www.parismuseescollections.paris.fr/fr/petit-palais/oeuvres/vues-d-espagne-vues-de-tolede-palais-royal-de-tolede-dutuit-page-12-robert" TargetMode="External"/><Relationship Id="rId308" Type="http://schemas.openxmlformats.org/officeDocument/2006/relationships/hyperlink" Target="https://gallica.bnf.fr/ark:/12148/bpt6k62182308/f343.item" TargetMode="External"/><Relationship Id="rId515" Type="http://schemas.openxmlformats.org/officeDocument/2006/relationships/hyperlink" Target="https://gallica.bnf.fr/ark:/12148/bpt6k6258810p/f188.item" TargetMode="External"/><Relationship Id="rId722" Type="http://schemas.openxmlformats.org/officeDocument/2006/relationships/hyperlink" Target="https://gallica.bnf.fr/ark:/12148/bpt6k6258707v/f256.item" TargetMode="External"/><Relationship Id="rId89" Type="http://schemas.openxmlformats.org/officeDocument/2006/relationships/hyperlink" Target="https://gallica.bnf.fr/ark:/12148/bpt6k4227113z/f389.item" TargetMode="External"/><Relationship Id="rId154" Type="http://schemas.openxmlformats.org/officeDocument/2006/relationships/hyperlink" Target="https://gallica.bnf.fr/ark:/12148/bpt6k4227068k/f357.item" TargetMode="External"/><Relationship Id="rId361" Type="http://schemas.openxmlformats.org/officeDocument/2006/relationships/hyperlink" Target="https://www.parismuseescollections.paris.fr/fr/petit-palais/oeuvres/vues-d-espagne-vues-de-tolede-palais-royal-de-tolede-dutuit-page-12-robert" TargetMode="External"/><Relationship Id="rId599" Type="http://schemas.openxmlformats.org/officeDocument/2006/relationships/hyperlink" Target="https://gallica.bnf.fr/ark:/12148/bpt6k6228751f/f233.item" TargetMode="External"/><Relationship Id="rId459" Type="http://schemas.openxmlformats.org/officeDocument/2006/relationships/hyperlink" Target="https://gallica.bnf.fr/ark:/12148/bpt6k6227446s/f81.item" TargetMode="External"/><Relationship Id="rId666" Type="http://schemas.openxmlformats.org/officeDocument/2006/relationships/hyperlink" Target="https://gallica.bnf.fr/ark:/12148/bpt6k6260060m/f203.item" TargetMode="External"/><Relationship Id="rId16" Type="http://schemas.openxmlformats.org/officeDocument/2006/relationships/hyperlink" Target="https://obvil.sorbonne-universite.fr/corpus/mercure-galant/MG-1678-02" TargetMode="External"/><Relationship Id="rId221" Type="http://schemas.openxmlformats.org/officeDocument/2006/relationships/hyperlink" Target="https://obvil.sorbonne-universite.fr/corpus/mercure-galant/MG-1680-01a" TargetMode="External"/><Relationship Id="rId319" Type="http://schemas.openxmlformats.org/officeDocument/2006/relationships/hyperlink" Target="https://gallica.bnf.fr/ark:/12148/bpt6k62252133/f102.item" TargetMode="External"/><Relationship Id="rId526" Type="http://schemas.openxmlformats.org/officeDocument/2006/relationships/hyperlink" Target="https://gallica.bnf.fr/ark:/12148/bpt6k6225954f/f117.item" TargetMode="External"/><Relationship Id="rId733" Type="http://schemas.openxmlformats.org/officeDocument/2006/relationships/hyperlink" Target="https://gallica.bnf.fr/ark:/12148/bpt6k6266301n/f179.item" TargetMode="External"/><Relationship Id="rId165" Type="http://schemas.openxmlformats.org/officeDocument/2006/relationships/hyperlink" Target="https://gallica.bnf.fr/ark:/12148/bpt6k6373444b/f208.item" TargetMode="External"/><Relationship Id="rId372" Type="http://schemas.openxmlformats.org/officeDocument/2006/relationships/hyperlink" Target="http://bases-iremus.huma-num.fr/directus-rar/admin/content/personnes/9f7e3294-4a5c-4896-8b95-9a63c33d15b5" TargetMode="External"/><Relationship Id="rId677" Type="http://schemas.openxmlformats.org/officeDocument/2006/relationships/hyperlink" Target="https://gallica.bnf.fr/ark:/12148/bpt6k1041715f/f441.item.zoom" TargetMode="External"/><Relationship Id="rId232" Type="http://schemas.openxmlformats.org/officeDocument/2006/relationships/hyperlink" Target="https://gallica.bnf.fr/ark:/12148/bpt6k6220151w/f338.item" TargetMode="External"/><Relationship Id="rId27" Type="http://schemas.openxmlformats.org/officeDocument/2006/relationships/hyperlink" Target="https://opentheso3.mom.fr/opentheso3/?idc=298077&amp;idt=43" TargetMode="External"/><Relationship Id="rId537" Type="http://schemas.openxmlformats.org/officeDocument/2006/relationships/hyperlink" Target="https://gallica.bnf.fr/ark:/12148/bpt6k6221925g/f264.item" TargetMode="External"/><Relationship Id="rId744" Type="http://schemas.openxmlformats.org/officeDocument/2006/relationships/hyperlink" Target="https://gallica.bnf.fr/ark:/12148/bpt6k63176666/f147.item" TargetMode="External"/><Relationship Id="rId80" Type="http://schemas.openxmlformats.org/officeDocument/2006/relationships/hyperlink" Target="https://opentheso3.mom.fr/opentheso3/?idc=2052&amp;idt=43" TargetMode="External"/><Relationship Id="rId176" Type="http://schemas.openxmlformats.org/officeDocument/2006/relationships/hyperlink" Target="https://gallica.bnf.fr/ark:/12148/bpt6k6227265f/f367.item" TargetMode="External"/><Relationship Id="rId383" Type="http://schemas.openxmlformats.org/officeDocument/2006/relationships/hyperlink" Target="https://www.parismuseescollections.paris.fr/fr/petit-palais/oeuvres/vues-d-espagne-vues-de-tolede-palais-royal-de-tolede-dutuit-page-12-robert" TargetMode="External"/><Relationship Id="rId590" Type="http://schemas.openxmlformats.org/officeDocument/2006/relationships/hyperlink" Target="https://gallica.bnf.fr/ark:/12148/bpt6k6228810v/f327.item" TargetMode="External"/><Relationship Id="rId604" Type="http://schemas.openxmlformats.org/officeDocument/2006/relationships/hyperlink" Target="https://obvil.sorbonne-universite.fr/corpus/mercure-galant/MG-1691-03" TargetMode="External"/><Relationship Id="rId243" Type="http://schemas.openxmlformats.org/officeDocument/2006/relationships/hyperlink" Target="http://bases-iremus.huma-num.fr/directus-rar/admin/content/personnes/5cbb52dc-c979-473b-b7fc-88b39da51d7d" TargetMode="External"/><Relationship Id="rId450" Type="http://schemas.openxmlformats.org/officeDocument/2006/relationships/hyperlink" Target="https://gallica.bnf.fr/ark:/12148/bpt6k6222754t/f171.item" TargetMode="External"/><Relationship Id="rId688" Type="http://schemas.openxmlformats.org/officeDocument/2006/relationships/hyperlink" Target="https://obvil.sorbonne-universite.fr/corpus/mercure-galant/MG-1695-05" TargetMode="External"/><Relationship Id="rId38" Type="http://schemas.openxmlformats.org/officeDocument/2006/relationships/hyperlink" Target="https://obvil.sorbonne-universite.fr/corpus/mercure-galant/MG-1678-03" TargetMode="External"/><Relationship Id="rId103" Type="http://schemas.openxmlformats.org/officeDocument/2006/relationships/hyperlink" Target="https://gallica.bnf.fr/ark:/12148/bpt6k115290h/f375.item" TargetMode="External"/><Relationship Id="rId310" Type="http://schemas.openxmlformats.org/officeDocument/2006/relationships/hyperlink" Target="https://gallica.bnf.fr/ark:/12148/bpt6k6225094v/f100.item" TargetMode="External"/><Relationship Id="rId548" Type="http://schemas.openxmlformats.org/officeDocument/2006/relationships/hyperlink" Target="https://obvil.sorbonne-universite.fr/corpus/mercure-galant/MG-1688-07" TargetMode="External"/><Relationship Id="rId755" Type="http://schemas.openxmlformats.org/officeDocument/2006/relationships/hyperlink" Target="http://bases-iremus.huma-num.fr/directus-rar/admin/content/personnes/69c20264-52ea-4566-a815-7123844fac19" TargetMode="External"/><Relationship Id="rId91" Type="http://schemas.openxmlformats.org/officeDocument/2006/relationships/hyperlink" Target="https://obvil.sorbonne-universite.fr/corpus/mercure-galant/MG-1678-06e" TargetMode="External"/><Relationship Id="rId187" Type="http://schemas.openxmlformats.org/officeDocument/2006/relationships/hyperlink" Target="https://obvil.sorbonne-universite.fr/corpus/mercure-galant/MG-1679-07" TargetMode="External"/><Relationship Id="rId394" Type="http://schemas.openxmlformats.org/officeDocument/2006/relationships/hyperlink" Target="https://catalogue.bnf.fr/ark:/12148/cb41504296v" TargetMode="External"/><Relationship Id="rId408" Type="http://schemas.openxmlformats.org/officeDocument/2006/relationships/hyperlink" Target="http://bases-iremus.huma-num.fr/directus-rar/admin/content/personnes/c33113ed-51d6-4b62-b3d4-c513a53f780e" TargetMode="External"/><Relationship Id="rId615" Type="http://schemas.openxmlformats.org/officeDocument/2006/relationships/hyperlink" Target="https://gallica.bnf.fr/ark:/12148/bpt6k6227826d/f159.item" TargetMode="External"/><Relationship Id="rId254" Type="http://schemas.openxmlformats.org/officeDocument/2006/relationships/hyperlink" Target="https://gallica.bnf.fr/ark:/12148/bpt6k6544125x" TargetMode="External"/><Relationship Id="rId699" Type="http://schemas.openxmlformats.org/officeDocument/2006/relationships/hyperlink" Target="https://gallica.bnf.fr/ark:/12148/bpt6k6248446n/f203.item" TargetMode="External"/><Relationship Id="rId49" Type="http://schemas.openxmlformats.org/officeDocument/2006/relationships/hyperlink" Target="https://doi.org/10.4000/rde.5394" TargetMode="External"/><Relationship Id="rId114" Type="http://schemas.openxmlformats.org/officeDocument/2006/relationships/hyperlink" Target="https://gallica.bnf.fr/ark:/12148/bpt6k87028102/f53.item" TargetMode="External"/><Relationship Id="rId461" Type="http://schemas.openxmlformats.org/officeDocument/2006/relationships/hyperlink" Target="https://gallica.bnf.fr/ark:/12148/bpt6k6219071t/f376.item" TargetMode="External"/><Relationship Id="rId559" Type="http://schemas.openxmlformats.org/officeDocument/2006/relationships/hyperlink" Target="https://obvil.sorbonne-universite.fr/corpus/mercure-galant/MG-1688-11a" TargetMode="External"/><Relationship Id="rId766" Type="http://schemas.openxmlformats.org/officeDocument/2006/relationships/hyperlink" Target="https://pba-opacweb.lille.fr/fr/search-notice/detail/num-md2053-jeto-32a11" TargetMode="External"/><Relationship Id="rId198" Type="http://schemas.openxmlformats.org/officeDocument/2006/relationships/hyperlink" Target="https://gallica.bnf.fr/ark:/12148/bpt6k6220333n/f371.item" TargetMode="External"/><Relationship Id="rId321" Type="http://schemas.openxmlformats.org/officeDocument/2006/relationships/hyperlink" Target="https://obvil.sorbonne-universite.fr/corpus/mercure-galant/MG-1681-04" TargetMode="External"/><Relationship Id="rId419" Type="http://schemas.openxmlformats.org/officeDocument/2006/relationships/hyperlink" Target="https://gallica.bnf.fr/ark:/12148/bpt6k65172365/f273.item" TargetMode="External"/><Relationship Id="rId626" Type="http://schemas.openxmlformats.org/officeDocument/2006/relationships/hyperlink" Target="https://obvil.sorbonne-universite.fr/corpus/mercure-galant/MG-1692-02a" TargetMode="External"/><Relationship Id="rId265" Type="http://schemas.openxmlformats.org/officeDocument/2006/relationships/hyperlink" Target="https://www.parismuseescollections.paris.fr/fr/petit-palais/oeuvres/vues-d-espagne-vues-de-tolede-palais-royal-de-tolede-dutuit-page-12-robert" TargetMode="External"/><Relationship Id="rId472" Type="http://schemas.openxmlformats.org/officeDocument/2006/relationships/hyperlink" Target="https://obvil.sorbonne-universite.fr/corpus/mercure-galant/MG-1684-10" TargetMode="External"/><Relationship Id="rId125" Type="http://schemas.openxmlformats.org/officeDocument/2006/relationships/hyperlink" Target="https://obvil.sorbonne-universite.fr/corpus/mercure-galant/MG-1678-10?q=m%C3%A9dailles" TargetMode="External"/><Relationship Id="rId332" Type="http://schemas.openxmlformats.org/officeDocument/2006/relationships/hyperlink" Target="https://www.photo.rmn.fr/CS.aspx?VP3=SearchResult&amp;VBID=2CMFCIB5J5MDC" TargetMode="External"/><Relationship Id="rId777" Type="http://schemas.openxmlformats.org/officeDocument/2006/relationships/hyperlink" Target="http://bases-iremus.huma-num.fr/directus-rar/admin/content/personnes/69c20264-52ea-4566-a815-7123844fac19" TargetMode="External"/><Relationship Id="rId637" Type="http://schemas.openxmlformats.org/officeDocument/2006/relationships/hyperlink" Target="https://gallica.bnf.fr/ark:/12148/bpt6k62574315/f108.item" TargetMode="External"/><Relationship Id="rId276" Type="http://schemas.openxmlformats.org/officeDocument/2006/relationships/hyperlink" Target="https://www.parismuseescollections.paris.fr/fr/petit-palais/oeuvres/vues-d-espagne-vues-de-tolede-palais-royal-de-tolede-dutuit-page-12-robert" TargetMode="External"/><Relationship Id="rId483" Type="http://schemas.openxmlformats.org/officeDocument/2006/relationships/hyperlink" Target="http://bases-iremus.huma-num.fr/directus-rar/admin/content/personnes/1eb96a7f-597c-4e76-bcb7-d8d3d9681b16" TargetMode="External"/><Relationship Id="rId690" Type="http://schemas.openxmlformats.org/officeDocument/2006/relationships/hyperlink" Target="https://gallica.bnf.fr/ark:/12148/bpt6k6258795f/f238.item" TargetMode="External"/><Relationship Id="rId704" Type="http://schemas.openxmlformats.org/officeDocument/2006/relationships/hyperlink" Target="https://gallica.bnf.fr/ark:/12148/bpt6k6260250x/f243.item" TargetMode="External"/><Relationship Id="rId40" Type="http://schemas.openxmlformats.org/officeDocument/2006/relationships/hyperlink" Target="https://opentheso5.mom.fr/opentheso5/?idc=berain_jean_(1640-1711)&amp;idt=25" TargetMode="External"/><Relationship Id="rId136" Type="http://schemas.openxmlformats.org/officeDocument/2006/relationships/hyperlink" Target="https://obvil.sorbonne-universite.fr/corpus/mercure-galant/MG-1678-12" TargetMode="External"/><Relationship Id="rId343" Type="http://schemas.openxmlformats.org/officeDocument/2006/relationships/hyperlink" Target="https://obvil.sorbonne-universite.fr/corpus/mercure-galant/MG-1681-09e" TargetMode="External"/><Relationship Id="rId550" Type="http://schemas.openxmlformats.org/officeDocument/2006/relationships/hyperlink" Target="https://opentheso5.mom.fr/opentheso5/?idc=berain_jean_(1640-1711)&amp;idt=25" TargetMode="External"/><Relationship Id="rId788" Type="http://schemas.openxmlformats.org/officeDocument/2006/relationships/hyperlink" Target="https://gallica.bnf.fr/ark:/12148/bpt6k6274143z/f227.item" TargetMode="External"/><Relationship Id="rId203" Type="http://schemas.openxmlformats.org/officeDocument/2006/relationships/hyperlink" Target="https://gallica.bnf.fr/ark:/12148/bpt6k63348601/f369.item" TargetMode="External"/><Relationship Id="rId648" Type="http://schemas.openxmlformats.org/officeDocument/2006/relationships/hyperlink" Target="https://gallica.bnf.fr/ark:/12148/bpt6k62661209/f252.item" TargetMode="External"/><Relationship Id="rId287" Type="http://schemas.openxmlformats.org/officeDocument/2006/relationships/hyperlink" Target="https://www.parismuseescollections.paris.fr/fr/petit-palais/oeuvres/vues-d-espagne-vues-de-tolede-palais-royal-de-tolede-dutuit-page-12-robert" TargetMode="External"/><Relationship Id="rId410" Type="http://schemas.openxmlformats.org/officeDocument/2006/relationships/hyperlink" Target="https://gallica.bnf.fr/ark:/12148/bpt6k115295d/f295.item" TargetMode="External"/><Relationship Id="rId494" Type="http://schemas.openxmlformats.org/officeDocument/2006/relationships/hyperlink" Target="https://gallica.bnf.fr/ark:/12148/bpt6k6515421s/f99.item" TargetMode="External"/><Relationship Id="rId508" Type="http://schemas.openxmlformats.org/officeDocument/2006/relationships/hyperlink" Target="http://bases-iremus.huma-num.fr/directus-rar/admin/content/personnes/e2dbb2a6-12b1-465c-b0a0-471c82625b20" TargetMode="External"/><Relationship Id="rId715" Type="http://schemas.openxmlformats.org/officeDocument/2006/relationships/hyperlink" Target="https://gallica.bnf.fr/ark:/12148/bpt6k6267980n/f205.item" TargetMode="External"/><Relationship Id="rId147" Type="http://schemas.openxmlformats.org/officeDocument/2006/relationships/hyperlink" Target="https://gallica.bnf.fr/ark:/12148/bpt6k6373165g/f357.item" TargetMode="External"/><Relationship Id="rId354" Type="http://schemas.openxmlformats.org/officeDocument/2006/relationships/hyperlink" Target="https://gallica.bnf.fr/ark:/12148/bpt6k65172528/f341.item" TargetMode="External"/><Relationship Id="rId51" Type="http://schemas.openxmlformats.org/officeDocument/2006/relationships/hyperlink" Target="https://gallica.bnf.fr/ark:/12148/btv1b7100284h" TargetMode="External"/><Relationship Id="rId561" Type="http://schemas.openxmlformats.org/officeDocument/2006/relationships/hyperlink" Target="https://obvil.sorbonne-universite.fr/corpus/mercure-galant/MG-1688-12a" TargetMode="External"/><Relationship Id="rId659" Type="http://schemas.openxmlformats.org/officeDocument/2006/relationships/hyperlink" Target="https://gallica.bnf.fr/ark:/12148/bpt6k1041715f/f161.item.zoom" TargetMode="External"/><Relationship Id="rId214" Type="http://schemas.openxmlformats.org/officeDocument/2006/relationships/hyperlink" Target="https://gallica.bnf.fr/ark:/12148/bpt6k6218372z/f366.item" TargetMode="External"/><Relationship Id="rId298" Type="http://schemas.openxmlformats.org/officeDocument/2006/relationships/hyperlink" Target="https://www.parismuseescollections.paris.fr/fr/petit-palais/oeuvres/vues-d-espagne-vues-de-tolede-palais-royal-de-tolede-dutuit-page-12-robert" TargetMode="External"/><Relationship Id="rId421" Type="http://schemas.openxmlformats.org/officeDocument/2006/relationships/hyperlink" Target="https://gallica.bnf.fr/ark:/12148/bpt6k62251464/f173.item" TargetMode="External"/><Relationship Id="rId519" Type="http://schemas.openxmlformats.org/officeDocument/2006/relationships/hyperlink" Target="https://obvil.sorbonne-universite.fr/corpus/mercure-galant/MG-1687-01a" TargetMode="External"/><Relationship Id="rId158" Type="http://schemas.openxmlformats.org/officeDocument/2006/relationships/hyperlink" Target="https://gallica.bnf.fr/ark:/12148/bpt6k4227090d/f391.item" TargetMode="External"/><Relationship Id="rId726" Type="http://schemas.openxmlformats.org/officeDocument/2006/relationships/hyperlink" Target="http://bases-iremus.huma-num.fr/directus-rar/admin/content/personnes/69c20264-52ea-4566-a815-7123844fac19" TargetMode="External"/><Relationship Id="rId62" Type="http://schemas.openxmlformats.org/officeDocument/2006/relationships/hyperlink" Target="https://gallica.bnf.fr/ark:/12148/bpt6k4226770r/f451.item" TargetMode="External"/><Relationship Id="rId365" Type="http://schemas.openxmlformats.org/officeDocument/2006/relationships/hyperlink" Target="https://gallica.bnf.fr/ark:/12148/bpt6k6258812h/f349.item" TargetMode="External"/><Relationship Id="rId572" Type="http://schemas.openxmlformats.org/officeDocument/2006/relationships/hyperlink" Target="https://gallica.bnf.fr/ark:/12148/bpt6k6366032d/f196.item" TargetMode="External"/><Relationship Id="rId225" Type="http://schemas.openxmlformats.org/officeDocument/2006/relationships/hyperlink" Target="https://gallica.bnf.fr/ark:/12148/bpt6k6215648d/f78.item" TargetMode="External"/><Relationship Id="rId432" Type="http://schemas.openxmlformats.org/officeDocument/2006/relationships/hyperlink" Target="https://obvil.sorbonne-universite.fr/corpus/mercure-galant/MG-1683-05" TargetMode="External"/><Relationship Id="rId737" Type="http://schemas.openxmlformats.org/officeDocument/2006/relationships/hyperlink" Target="https://gallica.bnf.fr/ark:/12148/btv1b8407331t" TargetMode="External"/><Relationship Id="rId73" Type="http://schemas.openxmlformats.org/officeDocument/2006/relationships/hyperlink" Target="https://catalogue.bnf.fr/ark:/12148/cb415040531" TargetMode="External"/><Relationship Id="rId169" Type="http://schemas.openxmlformats.org/officeDocument/2006/relationships/hyperlink" Target="https://obvil.sorbonne-universite.fr/corpus/mercure-galant/MG-1679-04" TargetMode="External"/><Relationship Id="rId376" Type="http://schemas.openxmlformats.org/officeDocument/2006/relationships/hyperlink" Target="https://obvil.sorbonne-universite.fr/corpus/mercure-galant/MG-1682-03e" TargetMode="External"/><Relationship Id="rId583" Type="http://schemas.openxmlformats.org/officeDocument/2006/relationships/hyperlink" Target="https://www.inumis.com/shop/louis-xiv-paix-imposee-aux-pirates-algeriens-par-mauger-1684-paris-1705318/" TargetMode="External"/><Relationship Id="rId790" Type="http://schemas.openxmlformats.org/officeDocument/2006/relationships/hyperlink" Target="https://gallica.bnf.fr/ark:/12148/bpt6k6229042c/f146.item" TargetMode="External"/><Relationship Id="rId4" Type="http://schemas.openxmlformats.org/officeDocument/2006/relationships/hyperlink" Target="https://obvil.sorbonne-universite.fr/corpus/mercure-galant/MG-1677-09" TargetMode="External"/><Relationship Id="rId236" Type="http://schemas.openxmlformats.org/officeDocument/2006/relationships/hyperlink" Target="http://bases-iremus.huma-num.fr/directus-rar/admin/content/personnes/5cbb52dc-c979-473b-b7fc-88b39da51d7d" TargetMode="External"/><Relationship Id="rId443" Type="http://schemas.openxmlformats.org/officeDocument/2006/relationships/hyperlink" Target="https://gallica.bnf.fr/ark:/12148/bpt6k6228012x/f294.item" TargetMode="External"/><Relationship Id="rId650" Type="http://schemas.openxmlformats.org/officeDocument/2006/relationships/hyperlink" Target="https://gallica.bnf.fr/ark:/12148/bpt6k6260897d/f68.item" TargetMode="External"/><Relationship Id="rId303" Type="http://schemas.openxmlformats.org/officeDocument/2006/relationships/hyperlink" Target="https://gallica.bnf.fr/ark:/12148/bpt6k62182308/f193.item" TargetMode="External"/><Relationship Id="rId748" Type="http://schemas.openxmlformats.org/officeDocument/2006/relationships/hyperlink" Target="https://obvil.sorbonne-universite.fr/corpus/mercure-galant/MG-1701-04B" TargetMode="External"/><Relationship Id="rId84" Type="http://schemas.openxmlformats.org/officeDocument/2006/relationships/hyperlink" Target="https://opentheso3.mom.fr/opentheso3/?idc=2052&amp;idt=43" TargetMode="External"/><Relationship Id="rId387" Type="http://schemas.openxmlformats.org/officeDocument/2006/relationships/hyperlink" Target="https://www.parismuseescollections.paris.fr/fr/petit-palais/oeuvres/vues-d-espagne-vues-de-tolede-palais-royal-de-tolede-dutuit-page-12-robert" TargetMode="External"/><Relationship Id="rId510" Type="http://schemas.openxmlformats.org/officeDocument/2006/relationships/hyperlink" Target="https://gallica.bnf.fr/ark:/12148/bpt6k6258822w/f324.item" TargetMode="External"/><Relationship Id="rId594" Type="http://schemas.openxmlformats.org/officeDocument/2006/relationships/hyperlink" Target="https://gallica.bnf.fr/ark:/12148/bpt6k6228125w/f196.item" TargetMode="External"/><Relationship Id="rId608" Type="http://schemas.openxmlformats.org/officeDocument/2006/relationships/hyperlink" Target="https://gallica.bnf.fr/ark:/12148/bpt6k62790487/f168.item" TargetMode="External"/><Relationship Id="rId247" Type="http://schemas.openxmlformats.org/officeDocument/2006/relationships/hyperlink" Target="https://books.google.fr/books?id=81s9AQAAIAAJ&amp;pg=PA27&amp;lpg=PA27&amp;dq=civitates+Tornacensis+et+curtracensis&amp;source=bl&amp;ots=hTtkFhzaH_&amp;sig=ACfU3U223bKsInkjVTRGCaHDeq5dsgy3TQ&amp;hl=fr&amp;sa=X&amp;ved=2ahUKEwjr9Zj8xJTvAhULw1kKHQM8BHYQ6AEwAXoECAMQAw" TargetMode="External"/><Relationship Id="rId107" Type="http://schemas.openxmlformats.org/officeDocument/2006/relationships/hyperlink" Target="http://bases-iremus.huma-num.fr/directus-rar/admin/content/personnes/a2a4d6b3-f8a9-4aae-8a3d-77abc6de01e9" TargetMode="External"/><Relationship Id="rId454" Type="http://schemas.openxmlformats.org/officeDocument/2006/relationships/hyperlink" Target="https://opentheso3.mom.fr/opentheso3/?idc=297471&amp;idt=43" TargetMode="External"/><Relationship Id="rId661" Type="http://schemas.openxmlformats.org/officeDocument/2006/relationships/hyperlink" Target="https://gallica.bnf.fr/ark:/12148/bpt6k6255925j/f12.item" TargetMode="External"/><Relationship Id="rId759" Type="http://schemas.openxmlformats.org/officeDocument/2006/relationships/hyperlink" Target="http://bases-iremus.huma-num.fr/directus-rar/admin/content/personnes/69c20264-52ea-4566-a815-7123844fac19" TargetMode="External"/><Relationship Id="rId11" Type="http://schemas.openxmlformats.org/officeDocument/2006/relationships/hyperlink" Target="http://bases-iremus.huma-num.fr/directus-rar/admin/content/personnes/9d97e656-5943-4b3d-b8b1-688b7b697c5a" TargetMode="External"/><Relationship Id="rId314" Type="http://schemas.openxmlformats.org/officeDocument/2006/relationships/hyperlink" Target="http://bases-iremus.huma-num.fr/directus-rar/admin/content/personnes/9f7e3294-4a5c-4896-8b95-9a63c33d15b5" TargetMode="External"/><Relationship Id="rId398" Type="http://schemas.openxmlformats.org/officeDocument/2006/relationships/hyperlink" Target="http://bases-iremus.huma-num.fr/directus-rar/admin/content/personnes/ced818f7-81c6-4c40-bb90-a748b837aa09" TargetMode="External"/><Relationship Id="rId521" Type="http://schemas.openxmlformats.org/officeDocument/2006/relationships/hyperlink" Target="https://obvil.sorbonne-universite.fr/corpus/mercure-galant/MG-1687-02" TargetMode="External"/><Relationship Id="rId619" Type="http://schemas.openxmlformats.org/officeDocument/2006/relationships/hyperlink" Target="https://gallica.bnf.fr/ark:/12148/bpt6k62278287/f158.item" TargetMode="External"/><Relationship Id="rId95" Type="http://schemas.openxmlformats.org/officeDocument/2006/relationships/hyperlink" Target="https://gallica.bnf.fr/ark:/12148/btv1b525141207/f14.item.zoom" TargetMode="External"/><Relationship Id="rId160" Type="http://schemas.openxmlformats.org/officeDocument/2006/relationships/hyperlink" Target="https://gallica.bnf.fr/ark:/12148/bpt6k42270690/f141.item" TargetMode="External"/><Relationship Id="rId258" Type="http://schemas.openxmlformats.org/officeDocument/2006/relationships/hyperlink" Target="https://gallica.bnf.fr/ark:/12148/bpt6k1518708v/f5.item" TargetMode="External"/><Relationship Id="rId465" Type="http://schemas.openxmlformats.org/officeDocument/2006/relationships/hyperlink" Target="https://gallica.bnf.fr/ark:/12148/bpt6k62182375/f386.item" TargetMode="External"/><Relationship Id="rId672" Type="http://schemas.openxmlformats.org/officeDocument/2006/relationships/hyperlink" Target="https://catalogue.bnf.fr/ark:/12148/cb40592648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680"/>
  <sheetViews>
    <sheetView tabSelected="1" topLeftCell="F1" zoomScale="255" zoomScaleNormal="255" workbookViewId="0">
      <pane ySplit="1" topLeftCell="A43" activePane="bottomLeft" state="frozen"/>
      <selection pane="bottomLeft" activeCell="H54" sqref="H54"/>
    </sheetView>
  </sheetViews>
  <sheetFormatPr baseColWidth="10" defaultColWidth="12.6640625" defaultRowHeight="15" customHeight="1"/>
  <cols>
    <col min="1" max="2" width="15.1640625" customWidth="1"/>
    <col min="3" max="3" width="16.33203125" style="259" customWidth="1"/>
    <col min="4" max="4" width="14" style="243" customWidth="1"/>
    <col min="5" max="7" width="19.1640625" customWidth="1"/>
    <col min="8" max="8" width="25.6640625" customWidth="1"/>
    <col min="9" max="9" width="18.1640625" customWidth="1"/>
    <col min="10" max="10" width="29.1640625" customWidth="1"/>
    <col min="11" max="11" width="16.1640625" customWidth="1"/>
    <col min="12" max="12" width="29" customWidth="1"/>
    <col min="13" max="13" width="20.1640625" customWidth="1"/>
    <col min="14" max="16" width="26.1640625" customWidth="1"/>
    <col min="17" max="17" width="19.1640625" customWidth="1"/>
    <col min="18" max="18" width="27.1640625" customWidth="1"/>
    <col min="19" max="19" width="17.83203125" customWidth="1"/>
    <col min="20" max="22" width="16.6640625" customWidth="1"/>
    <col min="23" max="23" width="12.6640625" customWidth="1"/>
    <col min="24" max="24" width="16.6640625" customWidth="1"/>
    <col min="25" max="25" width="38.1640625" customWidth="1"/>
    <col min="26" max="26" width="15.33203125" customWidth="1"/>
    <col min="27" max="27" width="12.6640625" customWidth="1"/>
    <col min="28" max="28" width="29" customWidth="1"/>
    <col min="29" max="29" width="41.1640625" customWidth="1"/>
    <col min="30" max="30" width="40.6640625" customWidth="1"/>
    <col min="31" max="43" width="12.6640625" customWidth="1"/>
  </cols>
  <sheetData>
    <row r="1" spans="1:43" ht="46.5" customHeight="1">
      <c r="A1" s="1" t="s">
        <v>0</v>
      </c>
      <c r="B1" s="2" t="s">
        <v>1</v>
      </c>
      <c r="C1" s="245" t="s">
        <v>2</v>
      </c>
      <c r="D1" s="228" t="s">
        <v>3</v>
      </c>
      <c r="E1" s="4" t="s">
        <v>4</v>
      </c>
      <c r="F1" s="2" t="s">
        <v>5</v>
      </c>
      <c r="G1" s="2" t="s">
        <v>6</v>
      </c>
      <c r="H1" s="2" t="s">
        <v>7</v>
      </c>
      <c r="I1" s="3" t="s">
        <v>8</v>
      </c>
      <c r="J1" s="5" t="s">
        <v>9</v>
      </c>
      <c r="K1" s="5" t="s">
        <v>10</v>
      </c>
      <c r="L1" s="5" t="s">
        <v>11</v>
      </c>
      <c r="M1" s="2" t="s">
        <v>12</v>
      </c>
      <c r="N1" s="6" t="s">
        <v>13</v>
      </c>
      <c r="O1" s="6" t="s">
        <v>14</v>
      </c>
      <c r="P1" s="7" t="s">
        <v>15</v>
      </c>
      <c r="Q1" s="8" t="s">
        <v>16</v>
      </c>
      <c r="R1" s="3" t="s">
        <v>17</v>
      </c>
      <c r="S1" s="2" t="s">
        <v>18</v>
      </c>
      <c r="T1" s="9" t="s">
        <v>19</v>
      </c>
      <c r="U1" s="10" t="s">
        <v>20</v>
      </c>
      <c r="V1" s="10" t="s">
        <v>21</v>
      </c>
      <c r="W1" s="11" t="s">
        <v>22</v>
      </c>
      <c r="X1" s="11" t="s">
        <v>23</v>
      </c>
      <c r="Y1" s="12" t="s">
        <v>24</v>
      </c>
      <c r="Z1" s="12" t="s">
        <v>25</v>
      </c>
      <c r="AA1" s="12" t="s">
        <v>26</v>
      </c>
      <c r="AB1" s="13" t="s">
        <v>27</v>
      </c>
      <c r="AC1" s="3" t="s">
        <v>28</v>
      </c>
      <c r="AD1" s="3" t="s">
        <v>29</v>
      </c>
      <c r="AE1" s="3"/>
      <c r="AF1" s="3"/>
      <c r="AG1" s="3"/>
      <c r="AH1" s="3"/>
      <c r="AI1" s="3"/>
      <c r="AJ1" s="3"/>
      <c r="AK1" s="3"/>
      <c r="AL1" s="3"/>
      <c r="AM1" s="3"/>
      <c r="AN1" s="3"/>
      <c r="AO1" s="3"/>
      <c r="AP1" s="3"/>
      <c r="AQ1" s="3"/>
    </row>
    <row r="2" spans="1:43" ht="15.75" customHeight="1">
      <c r="A2" s="441" t="s">
        <v>3810</v>
      </c>
      <c r="B2" s="15" t="s">
        <v>30</v>
      </c>
      <c r="C2" s="246" t="s">
        <v>31</v>
      </c>
      <c r="D2" s="229"/>
      <c r="E2" s="18"/>
      <c r="F2" s="19" t="s">
        <v>32</v>
      </c>
      <c r="G2" s="20"/>
      <c r="H2" s="21" t="s">
        <v>33</v>
      </c>
      <c r="I2" s="21"/>
      <c r="J2" s="22"/>
      <c r="K2" s="22" t="s">
        <v>34</v>
      </c>
      <c r="L2" s="22" t="s">
        <v>35</v>
      </c>
      <c r="M2" s="23" t="s">
        <v>36</v>
      </c>
      <c r="N2" s="24" t="s">
        <v>37</v>
      </c>
      <c r="O2" s="24"/>
      <c r="P2" s="25" t="s">
        <v>38</v>
      </c>
      <c r="Q2" s="26" t="s">
        <v>39</v>
      </c>
      <c r="R2" s="21" t="s">
        <v>40</v>
      </c>
      <c r="S2" s="27" t="s">
        <v>41</v>
      </c>
      <c r="T2" s="21"/>
      <c r="U2" s="28"/>
      <c r="V2" s="28"/>
      <c r="W2" s="29"/>
      <c r="X2" s="29"/>
      <c r="Y2" s="30"/>
      <c r="Z2" s="30"/>
      <c r="AA2" s="30"/>
      <c r="AB2" s="31"/>
      <c r="AC2" s="21"/>
      <c r="AD2" s="32"/>
      <c r="AE2" s="32"/>
      <c r="AF2" s="32"/>
      <c r="AG2" s="32"/>
      <c r="AH2" s="32"/>
      <c r="AI2" s="32"/>
      <c r="AJ2" s="32"/>
      <c r="AK2" s="32"/>
      <c r="AL2" s="32"/>
      <c r="AM2" s="32"/>
      <c r="AN2" s="32"/>
      <c r="AO2" s="32"/>
      <c r="AP2" s="32"/>
      <c r="AQ2" s="32"/>
    </row>
    <row r="3" spans="1:43" ht="54" customHeight="1">
      <c r="A3" s="441" t="s">
        <v>42</v>
      </c>
      <c r="B3" s="33" t="s">
        <v>43</v>
      </c>
      <c r="C3" s="247"/>
      <c r="D3" s="230"/>
      <c r="E3" s="18"/>
      <c r="F3" s="34" t="s">
        <v>44</v>
      </c>
      <c r="G3" s="17" t="s">
        <v>45</v>
      </c>
      <c r="H3" s="32" t="s">
        <v>46</v>
      </c>
      <c r="I3" s="32"/>
      <c r="J3" s="35"/>
      <c r="K3" s="22"/>
      <c r="L3" s="22"/>
      <c r="M3" s="36" t="s">
        <v>47</v>
      </c>
      <c r="N3" s="37" t="s">
        <v>48</v>
      </c>
      <c r="O3" s="38"/>
      <c r="P3" s="25"/>
      <c r="Q3" s="26"/>
      <c r="R3" s="39" t="s">
        <v>49</v>
      </c>
      <c r="S3" s="40" t="s">
        <v>41</v>
      </c>
      <c r="T3" s="21" t="s">
        <v>50</v>
      </c>
      <c r="U3" s="28" t="s">
        <v>51</v>
      </c>
      <c r="V3" s="28" t="s">
        <v>52</v>
      </c>
      <c r="W3" s="29" t="s">
        <v>51</v>
      </c>
      <c r="X3" s="29" t="s">
        <v>52</v>
      </c>
      <c r="Y3" s="30" t="s">
        <v>53</v>
      </c>
      <c r="Z3" s="30"/>
      <c r="AA3" s="30"/>
      <c r="AB3" s="41"/>
      <c r="AC3" s="32" t="s">
        <v>54</v>
      </c>
      <c r="AD3" s="32"/>
      <c r="AE3" s="32"/>
      <c r="AF3" s="32"/>
      <c r="AG3" s="32"/>
      <c r="AH3" s="32"/>
      <c r="AI3" s="32"/>
      <c r="AJ3" s="32"/>
      <c r="AK3" s="32"/>
      <c r="AL3" s="32"/>
      <c r="AM3" s="32"/>
      <c r="AN3" s="32"/>
      <c r="AO3" s="32"/>
      <c r="AP3" s="32"/>
      <c r="AQ3" s="32"/>
    </row>
    <row r="4" spans="1:43" ht="16" customHeight="1">
      <c r="A4" s="441" t="s">
        <v>55</v>
      </c>
      <c r="B4" s="33" t="s">
        <v>43</v>
      </c>
      <c r="C4" s="248" t="s">
        <v>56</v>
      </c>
      <c r="D4" s="230" t="s">
        <v>57</v>
      </c>
      <c r="E4" s="18" t="s">
        <v>4021</v>
      </c>
      <c r="F4" s="34" t="s">
        <v>58</v>
      </c>
      <c r="G4" s="17" t="s">
        <v>59</v>
      </c>
      <c r="H4" s="32" t="s">
        <v>60</v>
      </c>
      <c r="I4" s="32" t="s">
        <v>61</v>
      </c>
      <c r="J4" s="35"/>
      <c r="K4" s="22" t="s">
        <v>62</v>
      </c>
      <c r="L4" s="22" t="s">
        <v>63</v>
      </c>
      <c r="M4" s="43" t="s">
        <v>64</v>
      </c>
      <c r="N4" s="38" t="s">
        <v>65</v>
      </c>
      <c r="O4" s="38"/>
      <c r="P4" s="25"/>
      <c r="Q4" s="26"/>
      <c r="R4" s="305" t="s">
        <v>40</v>
      </c>
      <c r="S4" s="40" t="s">
        <v>41</v>
      </c>
      <c r="T4" s="44" t="s">
        <v>66</v>
      </c>
      <c r="U4" s="45" t="s">
        <v>67</v>
      </c>
      <c r="V4" s="45" t="s">
        <v>68</v>
      </c>
      <c r="W4" s="29"/>
      <c r="X4" s="29"/>
      <c r="Y4" s="30" t="s">
        <v>3946</v>
      </c>
      <c r="Z4" s="30"/>
      <c r="AA4" s="30"/>
      <c r="AB4" s="46" t="s">
        <v>69</v>
      </c>
      <c r="AC4" s="32"/>
      <c r="AD4" s="47" t="s">
        <v>70</v>
      </c>
      <c r="AE4" s="32"/>
      <c r="AF4" s="32"/>
      <c r="AG4" s="32"/>
      <c r="AH4" s="32"/>
      <c r="AI4" s="32"/>
      <c r="AJ4" s="32"/>
      <c r="AK4" s="32"/>
      <c r="AL4" s="32"/>
      <c r="AM4" s="32"/>
      <c r="AN4" s="32"/>
      <c r="AO4" s="32"/>
      <c r="AP4" s="32"/>
      <c r="AQ4" s="32"/>
    </row>
    <row r="5" spans="1:43" ht="15.75" customHeight="1">
      <c r="A5" s="441" t="s">
        <v>3811</v>
      </c>
      <c r="B5" s="32" t="s">
        <v>71</v>
      </c>
      <c r="C5" s="246" t="s">
        <v>72</v>
      </c>
      <c r="D5" s="229"/>
      <c r="E5" s="18"/>
      <c r="F5" s="34" t="s">
        <v>73</v>
      </c>
      <c r="G5" s="17" t="s">
        <v>74</v>
      </c>
      <c r="H5" s="48" t="s">
        <v>75</v>
      </c>
      <c r="I5" s="32" t="s">
        <v>76</v>
      </c>
      <c r="J5" s="22"/>
      <c r="K5" s="22"/>
      <c r="L5" s="22"/>
      <c r="M5" s="43" t="s">
        <v>77</v>
      </c>
      <c r="N5" s="38" t="s">
        <v>78</v>
      </c>
      <c r="O5" s="38"/>
      <c r="P5" s="25"/>
      <c r="Q5" s="26"/>
      <c r="R5" s="49" t="s">
        <v>79</v>
      </c>
      <c r="S5" s="40" t="s">
        <v>41</v>
      </c>
      <c r="T5" s="44" t="s">
        <v>80</v>
      </c>
      <c r="U5" s="50" t="s">
        <v>81</v>
      </c>
      <c r="V5" s="45" t="s">
        <v>82</v>
      </c>
      <c r="W5" s="29"/>
      <c r="X5" s="29"/>
      <c r="Y5" s="30" t="s">
        <v>83</v>
      </c>
      <c r="Z5" s="30"/>
      <c r="AA5" s="30"/>
      <c r="AB5" s="41"/>
      <c r="AC5" s="32"/>
      <c r="AD5" s="32"/>
      <c r="AE5" s="32"/>
      <c r="AF5" s="32"/>
      <c r="AG5" s="32"/>
      <c r="AH5" s="32"/>
      <c r="AI5" s="32"/>
      <c r="AJ5" s="32"/>
      <c r="AK5" s="32"/>
      <c r="AL5" s="32"/>
      <c r="AM5" s="32"/>
      <c r="AN5" s="32"/>
      <c r="AO5" s="32"/>
      <c r="AP5" s="32"/>
      <c r="AQ5" s="32"/>
    </row>
    <row r="6" spans="1:43" ht="15.75" customHeight="1">
      <c r="A6" s="441" t="s">
        <v>3812</v>
      </c>
      <c r="B6" s="33" t="s">
        <v>43</v>
      </c>
      <c r="C6" s="246" t="s">
        <v>84</v>
      </c>
      <c r="D6" s="231" t="s">
        <v>85</v>
      </c>
      <c r="E6" s="52" t="s">
        <v>86</v>
      </c>
      <c r="F6" s="16" t="s">
        <v>87</v>
      </c>
      <c r="G6" s="32" t="s">
        <v>88</v>
      </c>
      <c r="H6" s="40" t="s">
        <v>89</v>
      </c>
      <c r="I6" s="43" t="s">
        <v>90</v>
      </c>
      <c r="J6" s="22"/>
      <c r="K6" s="22"/>
      <c r="L6" s="22"/>
      <c r="M6" s="53" t="s">
        <v>91</v>
      </c>
      <c r="N6" s="54" t="s">
        <v>92</v>
      </c>
      <c r="O6" s="54"/>
      <c r="P6" s="55"/>
      <c r="Q6" s="56"/>
      <c r="R6" s="39" t="s">
        <v>49</v>
      </c>
      <c r="S6" s="40" t="s">
        <v>41</v>
      </c>
      <c r="T6" s="21" t="s">
        <v>93</v>
      </c>
      <c r="U6" s="28"/>
      <c r="V6" s="28"/>
      <c r="W6" s="29" t="s">
        <v>51</v>
      </c>
      <c r="X6" s="29" t="s">
        <v>52</v>
      </c>
      <c r="Y6" s="30" t="s">
        <v>94</v>
      </c>
      <c r="Z6" s="30"/>
      <c r="AA6" s="30"/>
      <c r="AB6" s="41"/>
      <c r="AC6" s="32"/>
      <c r="AD6" s="32"/>
      <c r="AE6" s="32"/>
      <c r="AF6" s="32"/>
      <c r="AG6" s="32"/>
      <c r="AH6" s="32"/>
      <c r="AI6" s="32"/>
      <c r="AJ6" s="32"/>
      <c r="AK6" s="32"/>
      <c r="AL6" s="32"/>
      <c r="AM6" s="32"/>
      <c r="AN6" s="32"/>
      <c r="AO6" s="32"/>
      <c r="AP6" s="32"/>
      <c r="AQ6" s="32"/>
    </row>
    <row r="7" spans="1:43" ht="15.75" customHeight="1">
      <c r="A7" s="441" t="s">
        <v>95</v>
      </c>
      <c r="B7" s="15" t="s">
        <v>43</v>
      </c>
      <c r="C7" s="362"/>
      <c r="D7" s="229"/>
      <c r="E7" s="368"/>
      <c r="F7" s="19" t="s">
        <v>96</v>
      </c>
      <c r="G7" s="17" t="s">
        <v>45</v>
      </c>
      <c r="H7" s="32" t="s">
        <v>46</v>
      </c>
      <c r="I7" s="32"/>
      <c r="J7" s="22"/>
      <c r="K7" s="22"/>
      <c r="L7" s="22"/>
      <c r="M7" s="36" t="s">
        <v>47</v>
      </c>
      <c r="N7" s="37" t="s">
        <v>48</v>
      </c>
      <c r="O7" s="37"/>
      <c r="P7" s="57"/>
      <c r="Q7" s="26"/>
      <c r="R7" s="39" t="s">
        <v>49</v>
      </c>
      <c r="S7" s="40" t="s">
        <v>41</v>
      </c>
      <c r="T7" s="21" t="s">
        <v>97</v>
      </c>
      <c r="U7" s="28" t="s">
        <v>51</v>
      </c>
      <c r="V7" s="28" t="s">
        <v>52</v>
      </c>
      <c r="W7" s="416"/>
      <c r="X7" s="416"/>
      <c r="Y7" s="30" t="s">
        <v>98</v>
      </c>
      <c r="Z7" s="30"/>
      <c r="AA7" s="30"/>
      <c r="AB7" s="31"/>
      <c r="AC7" s="32"/>
      <c r="AD7" s="32"/>
      <c r="AE7" s="32"/>
      <c r="AF7" s="32"/>
      <c r="AG7" s="32"/>
      <c r="AH7" s="32"/>
      <c r="AI7" s="32"/>
      <c r="AJ7" s="32"/>
      <c r="AK7" s="32"/>
      <c r="AL7" s="32"/>
      <c r="AM7" s="32"/>
      <c r="AN7" s="32"/>
      <c r="AO7" s="32"/>
      <c r="AP7" s="32"/>
      <c r="AQ7" s="32"/>
    </row>
    <row r="8" spans="1:43" ht="15.75" customHeight="1">
      <c r="A8" s="441" t="s">
        <v>3813</v>
      </c>
      <c r="B8" s="32" t="s">
        <v>99</v>
      </c>
      <c r="C8" s="307" t="s">
        <v>100</v>
      </c>
      <c r="D8" s="232"/>
      <c r="E8" s="58"/>
      <c r="F8" s="16" t="s">
        <v>101</v>
      </c>
      <c r="G8" s="32"/>
      <c r="H8" s="32" t="s">
        <v>102</v>
      </c>
      <c r="I8" s="43" t="s">
        <v>103</v>
      </c>
      <c r="J8" s="22"/>
      <c r="K8" s="22"/>
      <c r="L8" s="22"/>
      <c r="M8" s="36" t="s">
        <v>104</v>
      </c>
      <c r="N8" s="38" t="s">
        <v>105</v>
      </c>
      <c r="O8" s="294"/>
      <c r="P8" s="59" t="s">
        <v>106</v>
      </c>
      <c r="Q8" s="26" t="s">
        <v>107</v>
      </c>
      <c r="R8" s="49" t="s">
        <v>79</v>
      </c>
      <c r="S8" s="40" t="s">
        <v>41</v>
      </c>
      <c r="T8" s="21" t="s">
        <v>108</v>
      </c>
      <c r="U8" s="28"/>
      <c r="V8" s="28"/>
      <c r="W8" s="60" t="s">
        <v>109</v>
      </c>
      <c r="X8" s="60" t="s">
        <v>110</v>
      </c>
      <c r="Y8" s="61" t="s">
        <v>111</v>
      </c>
      <c r="Z8" s="30"/>
      <c r="AA8" s="30"/>
      <c r="AB8" s="41"/>
      <c r="AC8" s="32"/>
      <c r="AD8" s="32"/>
      <c r="AE8" s="32"/>
      <c r="AF8" s="32"/>
      <c r="AG8" s="32"/>
      <c r="AH8" s="32"/>
      <c r="AI8" s="32"/>
      <c r="AJ8" s="32"/>
      <c r="AK8" s="32"/>
      <c r="AL8" s="32"/>
      <c r="AM8" s="32"/>
      <c r="AN8" s="32"/>
      <c r="AO8" s="32"/>
      <c r="AP8" s="32"/>
      <c r="AQ8" s="32"/>
    </row>
    <row r="9" spans="1:43" ht="15.75" customHeight="1">
      <c r="A9" s="441" t="s">
        <v>121</v>
      </c>
      <c r="B9" s="32" t="s">
        <v>99</v>
      </c>
      <c r="C9" s="246" t="s">
        <v>122</v>
      </c>
      <c r="D9" s="229"/>
      <c r="E9" s="18"/>
      <c r="F9" s="34" t="s">
        <v>123</v>
      </c>
      <c r="G9" s="17" t="s">
        <v>124</v>
      </c>
      <c r="H9" s="32" t="s">
        <v>125</v>
      </c>
      <c r="I9" s="32" t="s">
        <v>126</v>
      </c>
      <c r="J9" s="22"/>
      <c r="K9" s="22"/>
      <c r="L9" s="22"/>
      <c r="M9" s="36" t="s">
        <v>77</v>
      </c>
      <c r="N9" s="65" t="s">
        <v>127</v>
      </c>
      <c r="O9" s="65"/>
      <c r="P9" s="25"/>
      <c r="Q9" s="26"/>
      <c r="R9" s="405" t="s">
        <v>79</v>
      </c>
      <c r="S9" s="40" t="s">
        <v>41</v>
      </c>
      <c r="T9" s="21" t="s">
        <v>128</v>
      </c>
      <c r="U9" s="28"/>
      <c r="V9" s="28"/>
      <c r="W9" s="29"/>
      <c r="X9" s="29"/>
      <c r="Y9" s="30"/>
      <c r="Z9" s="30"/>
      <c r="AA9" s="30"/>
      <c r="AB9" s="41"/>
      <c r="AC9" s="32"/>
      <c r="AD9" s="32"/>
      <c r="AE9" s="32"/>
      <c r="AF9" s="32"/>
      <c r="AG9" s="32"/>
      <c r="AH9" s="32"/>
      <c r="AI9" s="32"/>
      <c r="AJ9" s="32"/>
      <c r="AK9" s="32"/>
      <c r="AL9" s="32"/>
      <c r="AM9" s="32"/>
      <c r="AN9" s="32"/>
      <c r="AO9" s="32"/>
      <c r="AP9" s="32"/>
      <c r="AQ9" s="32"/>
    </row>
    <row r="10" spans="1:43" ht="15.75" customHeight="1">
      <c r="A10" s="441" t="s">
        <v>3814</v>
      </c>
      <c r="B10" s="32" t="s">
        <v>99</v>
      </c>
      <c r="C10" s="262" t="s">
        <v>112</v>
      </c>
      <c r="D10" s="231" t="s">
        <v>113</v>
      </c>
      <c r="E10" s="58" t="s">
        <v>114</v>
      </c>
      <c r="F10" s="16" t="s">
        <v>115</v>
      </c>
      <c r="G10" s="32" t="s">
        <v>116</v>
      </c>
      <c r="H10" s="40" t="s">
        <v>117</v>
      </c>
      <c r="I10" s="43" t="s">
        <v>118</v>
      </c>
      <c r="J10" s="22"/>
      <c r="K10" s="22"/>
      <c r="L10" s="22"/>
      <c r="M10" s="53" t="s">
        <v>91</v>
      </c>
      <c r="N10" s="62" t="s">
        <v>119</v>
      </c>
      <c r="O10" s="62"/>
      <c r="P10" s="63"/>
      <c r="Q10" s="64"/>
      <c r="R10" s="293" t="s">
        <v>49</v>
      </c>
      <c r="S10" s="40" t="s">
        <v>41</v>
      </c>
      <c r="T10" s="21" t="s">
        <v>120</v>
      </c>
      <c r="U10" s="28"/>
      <c r="V10" s="28"/>
      <c r="W10" s="29"/>
      <c r="X10" s="29"/>
      <c r="Y10" s="30"/>
      <c r="Z10" s="30"/>
      <c r="AA10" s="30"/>
      <c r="AB10" s="41"/>
      <c r="AC10" s="32"/>
      <c r="AD10" s="32"/>
      <c r="AE10" s="32"/>
      <c r="AF10" s="32"/>
      <c r="AG10" s="32"/>
      <c r="AH10" s="32"/>
      <c r="AI10" s="32"/>
      <c r="AJ10" s="32"/>
      <c r="AK10" s="32"/>
      <c r="AL10" s="32"/>
      <c r="AM10" s="32"/>
      <c r="AN10" s="32"/>
      <c r="AO10" s="32"/>
      <c r="AP10" s="32"/>
      <c r="AQ10" s="32"/>
    </row>
    <row r="11" spans="1:43" ht="15.75" customHeight="1">
      <c r="A11" s="441" t="s">
        <v>129</v>
      </c>
      <c r="B11" s="14" t="s">
        <v>43</v>
      </c>
      <c r="C11" s="261" t="s">
        <v>130</v>
      </c>
      <c r="D11" s="233"/>
      <c r="E11" s="67"/>
      <c r="F11" s="16" t="s">
        <v>131</v>
      </c>
      <c r="G11" s="32" t="s">
        <v>132</v>
      </c>
      <c r="H11" s="48" t="s">
        <v>133</v>
      </c>
      <c r="I11" s="43" t="s">
        <v>134</v>
      </c>
      <c r="J11" s="68" t="s">
        <v>135</v>
      </c>
      <c r="K11" s="68"/>
      <c r="L11" s="68"/>
      <c r="M11" s="36" t="s">
        <v>136</v>
      </c>
      <c r="N11" s="38" t="s">
        <v>137</v>
      </c>
      <c r="O11" s="38"/>
      <c r="P11" s="25"/>
      <c r="Q11" s="56"/>
      <c r="R11" s="39" t="s">
        <v>138</v>
      </c>
      <c r="S11" s="40" t="s">
        <v>41</v>
      </c>
      <c r="T11" s="21"/>
      <c r="U11" s="28"/>
      <c r="V11" s="28"/>
      <c r="W11" s="29"/>
      <c r="X11" s="29"/>
      <c r="Y11" s="30"/>
      <c r="Z11" s="30"/>
      <c r="AA11" s="30"/>
      <c r="AB11" s="46" t="s">
        <v>139</v>
      </c>
      <c r="AC11" s="69" t="s">
        <v>140</v>
      </c>
      <c r="AD11" s="21"/>
      <c r="AE11" s="32"/>
      <c r="AF11" s="32"/>
      <c r="AG11" s="32"/>
      <c r="AH11" s="32"/>
      <c r="AI11" s="32"/>
      <c r="AJ11" s="32"/>
      <c r="AK11" s="32"/>
      <c r="AL11" s="32"/>
      <c r="AM11" s="32"/>
      <c r="AN11" s="32"/>
      <c r="AO11" s="32"/>
      <c r="AP11" s="32"/>
      <c r="AQ11" s="32"/>
    </row>
    <row r="12" spans="1:43" ht="15.75" customHeight="1">
      <c r="A12" s="441" t="s">
        <v>141</v>
      </c>
      <c r="B12" s="14" t="s">
        <v>43</v>
      </c>
      <c r="C12" s="248" t="s">
        <v>3769</v>
      </c>
      <c r="D12" s="233"/>
      <c r="E12" s="67"/>
      <c r="F12" s="16" t="s">
        <v>131</v>
      </c>
      <c r="G12" s="48" t="s">
        <v>143</v>
      </c>
      <c r="H12" s="48" t="s">
        <v>144</v>
      </c>
      <c r="I12" s="43" t="s">
        <v>145</v>
      </c>
      <c r="J12" s="68" t="s">
        <v>146</v>
      </c>
      <c r="K12" s="68"/>
      <c r="L12" s="68"/>
      <c r="M12" s="36" t="s">
        <v>136</v>
      </c>
      <c r="N12" s="393" t="s">
        <v>147</v>
      </c>
      <c r="O12" s="393"/>
      <c r="P12" s="70"/>
      <c r="Q12" s="71"/>
      <c r="R12" s="39" t="s">
        <v>138</v>
      </c>
      <c r="S12" s="32" t="s">
        <v>41</v>
      </c>
      <c r="T12" s="21"/>
      <c r="U12" s="28"/>
      <c r="V12" s="28"/>
      <c r="W12" s="72"/>
      <c r="X12" s="29"/>
      <c r="Y12" s="30"/>
      <c r="Z12" s="30"/>
      <c r="AA12" s="30"/>
      <c r="AB12" s="41"/>
      <c r="AC12" s="69" t="s">
        <v>148</v>
      </c>
      <c r="AD12" s="21"/>
      <c r="AE12" s="32"/>
      <c r="AF12" s="32"/>
      <c r="AG12" s="32"/>
      <c r="AH12" s="32"/>
      <c r="AI12" s="32"/>
      <c r="AJ12" s="32"/>
      <c r="AK12" s="32"/>
      <c r="AL12" s="32"/>
      <c r="AM12" s="32"/>
      <c r="AN12" s="32"/>
      <c r="AO12" s="32"/>
      <c r="AP12" s="32"/>
      <c r="AQ12" s="32"/>
    </row>
    <row r="13" spans="1:43" ht="15.75" customHeight="1">
      <c r="A13" s="441" t="s">
        <v>149</v>
      </c>
      <c r="B13" s="14" t="s">
        <v>43</v>
      </c>
      <c r="C13" s="248" t="s">
        <v>3769</v>
      </c>
      <c r="D13" s="232"/>
      <c r="E13" s="58"/>
      <c r="F13" s="16" t="s">
        <v>150</v>
      </c>
      <c r="G13" s="32" t="s">
        <v>151</v>
      </c>
      <c r="H13" s="32" t="s">
        <v>152</v>
      </c>
      <c r="I13" s="33" t="s">
        <v>153</v>
      </c>
      <c r="J13" s="22" t="s">
        <v>154</v>
      </c>
      <c r="K13" s="22"/>
      <c r="L13" s="22"/>
      <c r="M13" s="43" t="s">
        <v>136</v>
      </c>
      <c r="N13" s="73" t="s">
        <v>155</v>
      </c>
      <c r="O13" s="73"/>
      <c r="P13" s="74"/>
      <c r="Q13" s="75"/>
      <c r="R13" s="39" t="s">
        <v>156</v>
      </c>
      <c r="S13" s="32" t="s">
        <v>41</v>
      </c>
      <c r="T13" s="21"/>
      <c r="U13" s="28"/>
      <c r="V13" s="28"/>
      <c r="W13" s="29"/>
      <c r="X13" s="29"/>
      <c r="Y13" s="30"/>
      <c r="Z13" s="30"/>
      <c r="AA13" s="30"/>
      <c r="AB13" s="46" t="s">
        <v>157</v>
      </c>
      <c r="AC13" s="32"/>
      <c r="AD13" s="21"/>
      <c r="AE13" s="32"/>
      <c r="AF13" s="32"/>
      <c r="AG13" s="32"/>
      <c r="AH13" s="32"/>
      <c r="AI13" s="32"/>
      <c r="AJ13" s="32"/>
      <c r="AK13" s="32"/>
      <c r="AL13" s="32"/>
      <c r="AM13" s="32"/>
      <c r="AN13" s="32"/>
      <c r="AO13" s="32"/>
      <c r="AP13" s="32"/>
      <c r="AQ13" s="32"/>
    </row>
    <row r="14" spans="1:43" ht="15.75" customHeight="1">
      <c r="A14" s="455" t="s">
        <v>158</v>
      </c>
      <c r="B14" s="32" t="s">
        <v>159</v>
      </c>
      <c r="C14" s="249" t="s">
        <v>160</v>
      </c>
      <c r="D14" s="232"/>
      <c r="E14" s="58"/>
      <c r="F14" s="16" t="s">
        <v>161</v>
      </c>
      <c r="G14" s="32" t="s">
        <v>162</v>
      </c>
      <c r="H14" s="40" t="s">
        <v>163</v>
      </c>
      <c r="I14" s="43" t="s">
        <v>118</v>
      </c>
      <c r="J14" s="76"/>
      <c r="K14" s="76"/>
      <c r="L14" s="76"/>
      <c r="M14" s="53" t="s">
        <v>91</v>
      </c>
      <c r="N14" s="54" t="s">
        <v>164</v>
      </c>
      <c r="O14" s="54"/>
      <c r="P14" s="55"/>
      <c r="Q14" s="56"/>
      <c r="R14" s="39" t="s">
        <v>49</v>
      </c>
      <c r="S14" s="77" t="s">
        <v>41</v>
      </c>
      <c r="T14" s="78"/>
      <c r="U14" s="79"/>
      <c r="V14" s="79"/>
      <c r="W14" s="72" t="s">
        <v>165</v>
      </c>
      <c r="X14" s="417" t="s">
        <v>166</v>
      </c>
      <c r="Y14" s="80" t="s">
        <v>167</v>
      </c>
      <c r="Z14" s="80"/>
      <c r="AA14" s="80"/>
      <c r="AB14" s="81"/>
      <c r="AC14" s="77"/>
      <c r="AD14" s="32"/>
      <c r="AE14" s="77"/>
      <c r="AF14" s="77"/>
      <c r="AG14" s="77"/>
      <c r="AH14" s="77"/>
      <c r="AI14" s="77"/>
      <c r="AJ14" s="77"/>
      <c r="AK14" s="77"/>
      <c r="AL14" s="77"/>
      <c r="AM14" s="77"/>
      <c r="AN14" s="77"/>
      <c r="AO14" s="77"/>
      <c r="AP14" s="77"/>
      <c r="AQ14" s="77"/>
    </row>
    <row r="15" spans="1:43" ht="15.75" customHeight="1">
      <c r="A15" s="99" t="s">
        <v>168</v>
      </c>
      <c r="B15" s="32" t="s">
        <v>169</v>
      </c>
      <c r="C15" s="247" t="s">
        <v>170</v>
      </c>
      <c r="D15" s="232"/>
      <c r="E15" s="58"/>
      <c r="F15" s="32" t="s">
        <v>171</v>
      </c>
      <c r="G15" s="32" t="s">
        <v>172</v>
      </c>
      <c r="H15" s="14" t="s">
        <v>173</v>
      </c>
      <c r="I15" s="32" t="s">
        <v>174</v>
      </c>
      <c r="J15" s="82"/>
      <c r="K15" s="82"/>
      <c r="L15" s="82"/>
      <c r="M15" s="33" t="s">
        <v>175</v>
      </c>
      <c r="N15" s="83" t="s">
        <v>176</v>
      </c>
      <c r="O15" s="83"/>
      <c r="P15" s="25"/>
      <c r="Q15" s="26"/>
      <c r="R15" s="49" t="s">
        <v>79</v>
      </c>
      <c r="S15" s="32" t="s">
        <v>41</v>
      </c>
      <c r="T15" s="21" t="s">
        <v>177</v>
      </c>
      <c r="U15" s="28"/>
      <c r="V15" s="28"/>
      <c r="W15" s="29"/>
      <c r="X15" s="29"/>
      <c r="Y15" s="30"/>
      <c r="Z15" s="30"/>
      <c r="AA15" s="30"/>
      <c r="AB15" s="41"/>
      <c r="AC15" s="32"/>
      <c r="AD15" s="32"/>
      <c r="AE15" s="32"/>
      <c r="AF15" s="32"/>
      <c r="AG15" s="32"/>
      <c r="AH15" s="32"/>
      <c r="AI15" s="32"/>
      <c r="AJ15" s="32"/>
      <c r="AK15" s="32"/>
      <c r="AL15" s="32"/>
      <c r="AM15" s="32"/>
      <c r="AN15" s="32"/>
      <c r="AO15" s="32"/>
      <c r="AP15" s="32"/>
      <c r="AQ15" s="32"/>
    </row>
    <row r="16" spans="1:43" ht="15.75" customHeight="1">
      <c r="A16" s="453" t="s">
        <v>4008</v>
      </c>
      <c r="B16" s="32" t="s">
        <v>43</v>
      </c>
      <c r="C16" s="261" t="s">
        <v>3770</v>
      </c>
      <c r="D16" s="231" t="s">
        <v>178</v>
      </c>
      <c r="E16" s="58" t="s">
        <v>179</v>
      </c>
      <c r="F16" s="32" t="s">
        <v>171</v>
      </c>
      <c r="G16" s="32" t="s">
        <v>180</v>
      </c>
      <c r="H16" s="48" t="s">
        <v>181</v>
      </c>
      <c r="I16" s="32" t="s">
        <v>182</v>
      </c>
      <c r="J16" s="22"/>
      <c r="K16" s="22"/>
      <c r="L16" s="22"/>
      <c r="M16" s="32" t="s">
        <v>183</v>
      </c>
      <c r="N16" s="38" t="s">
        <v>184</v>
      </c>
      <c r="O16" s="38"/>
      <c r="P16" s="25"/>
      <c r="Q16" s="26"/>
      <c r="R16" s="39" t="s">
        <v>185</v>
      </c>
      <c r="S16" s="32" t="s">
        <v>41</v>
      </c>
      <c r="T16" s="84" t="s">
        <v>186</v>
      </c>
      <c r="U16" s="85" t="s">
        <v>187</v>
      </c>
      <c r="V16" s="85" t="s">
        <v>188</v>
      </c>
      <c r="W16" s="86" t="s">
        <v>189</v>
      </c>
      <c r="X16" s="86" t="s">
        <v>190</v>
      </c>
      <c r="Y16" s="30" t="s">
        <v>3951</v>
      </c>
      <c r="Z16" s="30"/>
      <c r="AA16" s="30"/>
      <c r="AB16" s="41" t="s">
        <v>191</v>
      </c>
      <c r="AC16" s="32" t="s">
        <v>192</v>
      </c>
      <c r="AD16" s="32"/>
      <c r="AE16" s="32"/>
      <c r="AF16" s="32"/>
      <c r="AG16" s="32"/>
      <c r="AH16" s="32"/>
      <c r="AI16" s="32"/>
      <c r="AJ16" s="32"/>
      <c r="AK16" s="32"/>
      <c r="AL16" s="32"/>
      <c r="AM16" s="32"/>
      <c r="AN16" s="32"/>
      <c r="AO16" s="32"/>
      <c r="AP16" s="32"/>
      <c r="AQ16" s="32"/>
    </row>
    <row r="17" spans="1:43" ht="15.75" customHeight="1">
      <c r="A17" s="99" t="s">
        <v>4009</v>
      </c>
      <c r="B17" s="32" t="s">
        <v>43</v>
      </c>
      <c r="C17" s="263" t="s">
        <v>3771</v>
      </c>
      <c r="D17" s="231" t="s">
        <v>178</v>
      </c>
      <c r="E17" s="58" t="s">
        <v>179</v>
      </c>
      <c r="F17" s="32" t="s">
        <v>171</v>
      </c>
      <c r="G17" s="32" t="s">
        <v>180</v>
      </c>
      <c r="H17" s="48" t="s">
        <v>193</v>
      </c>
      <c r="I17" s="32" t="s">
        <v>194</v>
      </c>
      <c r="J17" s="22"/>
      <c r="K17" s="22"/>
      <c r="L17" s="22"/>
      <c r="M17" s="32" t="s">
        <v>183</v>
      </c>
      <c r="N17" s="38" t="s">
        <v>184</v>
      </c>
      <c r="O17" s="38"/>
      <c r="P17" s="25"/>
      <c r="Q17" s="26"/>
      <c r="R17" s="39" t="s">
        <v>185</v>
      </c>
      <c r="S17" s="32" t="s">
        <v>41</v>
      </c>
      <c r="T17" s="84" t="s">
        <v>195</v>
      </c>
      <c r="U17" s="85" t="s">
        <v>187</v>
      </c>
      <c r="V17" s="85" t="s">
        <v>188</v>
      </c>
      <c r="W17" s="86" t="s">
        <v>189</v>
      </c>
      <c r="X17" s="86" t="s">
        <v>190</v>
      </c>
      <c r="Y17" s="30" t="s">
        <v>196</v>
      </c>
      <c r="Z17" s="30"/>
      <c r="AA17" s="30"/>
      <c r="AB17" s="46" t="s">
        <v>197</v>
      </c>
      <c r="AC17" s="32" t="s">
        <v>198</v>
      </c>
      <c r="AD17" s="32"/>
      <c r="AE17" s="32"/>
      <c r="AF17" s="32"/>
      <c r="AG17" s="32"/>
      <c r="AH17" s="32"/>
      <c r="AI17" s="32"/>
      <c r="AJ17" s="32"/>
      <c r="AK17" s="32"/>
      <c r="AL17" s="32"/>
      <c r="AM17" s="32"/>
      <c r="AN17" s="32"/>
      <c r="AO17" s="32"/>
      <c r="AP17" s="32"/>
      <c r="AQ17" s="32"/>
    </row>
    <row r="18" spans="1:43" ht="15.75" customHeight="1">
      <c r="A18" s="99" t="s">
        <v>4010</v>
      </c>
      <c r="B18" s="87" t="s">
        <v>200</v>
      </c>
      <c r="C18" s="21" t="s">
        <v>199</v>
      </c>
      <c r="D18" s="234" t="s">
        <v>178</v>
      </c>
      <c r="E18" s="58" t="s">
        <v>179</v>
      </c>
      <c r="F18" s="16" t="s">
        <v>201</v>
      </c>
      <c r="G18" s="32" t="s">
        <v>180</v>
      </c>
      <c r="H18" s="21" t="s">
        <v>202</v>
      </c>
      <c r="I18" s="32" t="s">
        <v>203</v>
      </c>
      <c r="J18" s="22"/>
      <c r="K18" s="82"/>
      <c r="L18" s="82"/>
      <c r="M18" s="32" t="s">
        <v>183</v>
      </c>
      <c r="N18" s="38" t="s">
        <v>184</v>
      </c>
      <c r="O18" s="38"/>
      <c r="P18" s="25"/>
      <c r="Q18" s="26"/>
      <c r="R18" s="39" t="s">
        <v>185</v>
      </c>
      <c r="S18" s="32" t="s">
        <v>41</v>
      </c>
      <c r="T18" s="84" t="s">
        <v>204</v>
      </c>
      <c r="U18" s="85" t="s">
        <v>187</v>
      </c>
      <c r="V18" s="85" t="s">
        <v>188</v>
      </c>
      <c r="W18" s="86" t="s">
        <v>189</v>
      </c>
      <c r="X18" s="86" t="s">
        <v>190</v>
      </c>
      <c r="Y18" s="30" t="s">
        <v>196</v>
      </c>
      <c r="Z18" s="30"/>
      <c r="AA18" s="30"/>
      <c r="AB18" s="425" t="s">
        <v>205</v>
      </c>
      <c r="AC18" s="32" t="s">
        <v>206</v>
      </c>
      <c r="AD18" s="32"/>
      <c r="AE18" s="32"/>
      <c r="AF18" s="32"/>
      <c r="AG18" s="32"/>
      <c r="AH18" s="32"/>
      <c r="AI18" s="32"/>
      <c r="AJ18" s="32"/>
      <c r="AK18" s="32"/>
      <c r="AL18" s="32"/>
      <c r="AM18" s="32"/>
      <c r="AN18" s="32"/>
      <c r="AO18" s="32"/>
      <c r="AP18" s="32"/>
      <c r="AQ18" s="32"/>
    </row>
    <row r="19" spans="1:43" ht="15.75" customHeight="1">
      <c r="A19" s="99" t="s">
        <v>4011</v>
      </c>
      <c r="B19" s="32" t="s">
        <v>43</v>
      </c>
      <c r="C19" s="32" t="s">
        <v>207</v>
      </c>
      <c r="D19" s="231" t="s">
        <v>178</v>
      </c>
      <c r="E19" s="58" t="s">
        <v>179</v>
      </c>
      <c r="F19" s="32" t="s">
        <v>171</v>
      </c>
      <c r="G19" s="32" t="s">
        <v>208</v>
      </c>
      <c r="H19" s="48" t="s">
        <v>209</v>
      </c>
      <c r="I19" s="32" t="s">
        <v>210</v>
      </c>
      <c r="J19" s="82"/>
      <c r="K19" s="302"/>
      <c r="L19" s="82"/>
      <c r="M19" s="32" t="s">
        <v>183</v>
      </c>
      <c r="N19" s="38" t="s">
        <v>211</v>
      </c>
      <c r="O19" s="38"/>
      <c r="P19" s="25"/>
      <c r="Q19" s="26"/>
      <c r="R19" s="39" t="s">
        <v>185</v>
      </c>
      <c r="S19" s="32" t="s">
        <v>41</v>
      </c>
      <c r="T19" s="84" t="s">
        <v>204</v>
      </c>
      <c r="U19" s="85" t="s">
        <v>187</v>
      </c>
      <c r="V19" s="85" t="s">
        <v>188</v>
      </c>
      <c r="W19" s="86" t="s">
        <v>189</v>
      </c>
      <c r="X19" s="86" t="s">
        <v>190</v>
      </c>
      <c r="Y19" s="30" t="s">
        <v>196</v>
      </c>
      <c r="Z19" s="30"/>
      <c r="AA19" s="30"/>
      <c r="AB19" s="31" t="s">
        <v>212</v>
      </c>
      <c r="AC19" s="32" t="s">
        <v>213</v>
      </c>
      <c r="AD19" s="32"/>
      <c r="AE19" s="32"/>
      <c r="AF19" s="32"/>
      <c r="AG19" s="32"/>
      <c r="AH19" s="32"/>
      <c r="AI19" s="32"/>
      <c r="AJ19" s="32"/>
      <c r="AK19" s="32"/>
      <c r="AL19" s="32"/>
      <c r="AM19" s="32"/>
      <c r="AN19" s="32"/>
      <c r="AO19" s="32"/>
      <c r="AP19" s="32"/>
      <c r="AQ19" s="32"/>
    </row>
    <row r="20" spans="1:43" ht="15.75" customHeight="1">
      <c r="A20" s="99" t="s">
        <v>3815</v>
      </c>
      <c r="B20" s="32" t="s">
        <v>43</v>
      </c>
      <c r="C20" s="32" t="s">
        <v>214</v>
      </c>
      <c r="D20" s="231" t="s">
        <v>178</v>
      </c>
      <c r="E20" s="58" t="s">
        <v>179</v>
      </c>
      <c r="F20" s="32" t="s">
        <v>171</v>
      </c>
      <c r="G20" s="32" t="s">
        <v>215</v>
      </c>
      <c r="H20" s="48" t="s">
        <v>216</v>
      </c>
      <c r="I20" s="32" t="s">
        <v>217</v>
      </c>
      <c r="J20" s="382"/>
      <c r="K20" s="302"/>
      <c r="L20" s="82"/>
      <c r="M20" s="32" t="s">
        <v>183</v>
      </c>
      <c r="N20" s="38" t="s">
        <v>211</v>
      </c>
      <c r="O20" s="38"/>
      <c r="P20" s="25"/>
      <c r="Q20" s="26"/>
      <c r="R20" s="39" t="s">
        <v>185</v>
      </c>
      <c r="S20" s="32" t="s">
        <v>41</v>
      </c>
      <c r="T20" s="84"/>
      <c r="U20" s="85" t="s">
        <v>187</v>
      </c>
      <c r="V20" s="85" t="s">
        <v>188</v>
      </c>
      <c r="W20" s="86" t="s">
        <v>189</v>
      </c>
      <c r="X20" s="86" t="s">
        <v>190</v>
      </c>
      <c r="Y20" s="30" t="s">
        <v>196</v>
      </c>
      <c r="Z20" s="30"/>
      <c r="AA20" s="30"/>
      <c r="AB20" s="426" t="s">
        <v>218</v>
      </c>
      <c r="AC20" s="32" t="s">
        <v>219</v>
      </c>
      <c r="AD20" s="32"/>
      <c r="AE20" s="32"/>
      <c r="AF20" s="32"/>
      <c r="AG20" s="32"/>
      <c r="AH20" s="32"/>
      <c r="AI20" s="32"/>
      <c r="AJ20" s="32"/>
      <c r="AK20" s="32"/>
      <c r="AL20" s="32"/>
      <c r="AM20" s="32"/>
      <c r="AN20" s="32"/>
      <c r="AO20" s="32"/>
      <c r="AP20" s="32"/>
      <c r="AQ20" s="32"/>
    </row>
    <row r="21" spans="1:43" ht="15.75" customHeight="1">
      <c r="A21" s="99" t="s">
        <v>3816</v>
      </c>
      <c r="B21" s="32" t="s">
        <v>43</v>
      </c>
      <c r="C21" s="32" t="s">
        <v>214</v>
      </c>
      <c r="D21" s="231" t="s">
        <v>178</v>
      </c>
      <c r="E21" s="58" t="s">
        <v>179</v>
      </c>
      <c r="F21" s="47" t="s">
        <v>220</v>
      </c>
      <c r="G21" s="32"/>
      <c r="H21" s="48" t="s">
        <v>221</v>
      </c>
      <c r="I21" s="32" t="s">
        <v>222</v>
      </c>
      <c r="J21" s="22"/>
      <c r="K21" s="22"/>
      <c r="L21" s="22"/>
      <c r="M21" s="32" t="s">
        <v>183</v>
      </c>
      <c r="N21" s="89" t="s">
        <v>223</v>
      </c>
      <c r="O21" s="89"/>
      <c r="P21" s="90"/>
      <c r="Q21" s="91"/>
      <c r="R21" s="39" t="s">
        <v>185</v>
      </c>
      <c r="S21" s="32" t="s">
        <v>41</v>
      </c>
      <c r="T21" s="84" t="s">
        <v>224</v>
      </c>
      <c r="U21" s="85" t="s">
        <v>187</v>
      </c>
      <c r="V21" s="85" t="s">
        <v>188</v>
      </c>
      <c r="W21" s="86" t="s">
        <v>189</v>
      </c>
      <c r="X21" s="86" t="s">
        <v>190</v>
      </c>
      <c r="Y21" s="30" t="s">
        <v>196</v>
      </c>
      <c r="Z21" s="30"/>
      <c r="AA21" s="30"/>
      <c r="AB21" s="427"/>
      <c r="AC21" s="92" t="s">
        <v>225</v>
      </c>
      <c r="AD21" s="32"/>
      <c r="AE21" s="32"/>
      <c r="AF21" s="32"/>
      <c r="AG21" s="32"/>
      <c r="AH21" s="32"/>
      <c r="AI21" s="32"/>
      <c r="AJ21" s="32"/>
      <c r="AK21" s="32"/>
      <c r="AL21" s="32"/>
      <c r="AM21" s="32"/>
      <c r="AN21" s="32"/>
      <c r="AO21" s="32"/>
      <c r="AP21" s="32"/>
      <c r="AQ21" s="32"/>
    </row>
    <row r="22" spans="1:43" ht="15.75" customHeight="1">
      <c r="A22" s="441" t="s">
        <v>226</v>
      </c>
      <c r="B22" s="14" t="s">
        <v>43</v>
      </c>
      <c r="C22" s="248" t="s">
        <v>130</v>
      </c>
      <c r="D22" s="232"/>
      <c r="E22" s="58"/>
      <c r="F22" s="16" t="s">
        <v>227</v>
      </c>
      <c r="G22" s="32" t="s">
        <v>228</v>
      </c>
      <c r="H22" s="32" t="s">
        <v>229</v>
      </c>
      <c r="I22" s="43" t="s">
        <v>230</v>
      </c>
      <c r="J22" s="93" t="s">
        <v>231</v>
      </c>
      <c r="K22" s="22"/>
      <c r="L22" s="22"/>
      <c r="M22" s="36" t="s">
        <v>136</v>
      </c>
      <c r="N22" s="54" t="s">
        <v>232</v>
      </c>
      <c r="O22" s="54"/>
      <c r="P22" s="55"/>
      <c r="Q22" s="56"/>
      <c r="R22" s="94" t="s">
        <v>138</v>
      </c>
      <c r="S22" s="32" t="s">
        <v>41</v>
      </c>
      <c r="T22" s="21" t="s">
        <v>233</v>
      </c>
      <c r="U22" s="28"/>
      <c r="V22" s="28"/>
      <c r="W22" s="29"/>
      <c r="X22" s="29"/>
      <c r="Y22" s="30"/>
      <c r="Z22" s="30"/>
      <c r="AA22" s="30"/>
      <c r="AB22" s="423" t="s">
        <v>234</v>
      </c>
      <c r="AC22" s="69" t="s">
        <v>235</v>
      </c>
      <c r="AD22" s="21"/>
      <c r="AE22" s="32"/>
      <c r="AF22" s="32"/>
      <c r="AG22" s="32"/>
      <c r="AH22" s="32"/>
      <c r="AI22" s="32"/>
      <c r="AJ22" s="32"/>
      <c r="AK22" s="32"/>
      <c r="AL22" s="32"/>
      <c r="AM22" s="32"/>
      <c r="AN22" s="32"/>
      <c r="AO22" s="32"/>
      <c r="AP22" s="32"/>
      <c r="AQ22" s="32"/>
    </row>
    <row r="23" spans="1:43" ht="15.75" customHeight="1">
      <c r="A23" s="99" t="s">
        <v>236</v>
      </c>
      <c r="B23" s="14" t="s">
        <v>43</v>
      </c>
      <c r="C23" s="250" t="s">
        <v>170</v>
      </c>
      <c r="D23" s="232"/>
      <c r="E23" s="58"/>
      <c r="F23" s="16" t="s">
        <v>237</v>
      </c>
      <c r="G23" s="32" t="s">
        <v>238</v>
      </c>
      <c r="H23" s="95" t="s">
        <v>239</v>
      </c>
      <c r="I23" s="32" t="s">
        <v>240</v>
      </c>
      <c r="J23" s="82" t="s">
        <v>241</v>
      </c>
      <c r="K23" s="82"/>
      <c r="L23" s="82"/>
      <c r="M23" s="36" t="s">
        <v>136</v>
      </c>
      <c r="N23" s="73" t="s">
        <v>242</v>
      </c>
      <c r="O23" s="73"/>
      <c r="P23" s="74"/>
      <c r="Q23" s="91"/>
      <c r="R23" s="94" t="s">
        <v>138</v>
      </c>
      <c r="S23" s="32" t="s">
        <v>41</v>
      </c>
      <c r="T23" s="21" t="s">
        <v>243</v>
      </c>
      <c r="U23" s="28"/>
      <c r="V23" s="28"/>
      <c r="W23" s="29"/>
      <c r="X23" s="29"/>
      <c r="Y23" s="30"/>
      <c r="Z23" s="30"/>
      <c r="AA23" s="30"/>
      <c r="AB23" s="46" t="s">
        <v>244</v>
      </c>
      <c r="AC23" s="32"/>
      <c r="AD23" s="21"/>
      <c r="AE23" s="32"/>
      <c r="AF23" s="32"/>
      <c r="AG23" s="32"/>
      <c r="AH23" s="32"/>
      <c r="AI23" s="32"/>
      <c r="AJ23" s="32"/>
      <c r="AK23" s="32"/>
      <c r="AL23" s="32"/>
      <c r="AM23" s="32"/>
      <c r="AN23" s="32"/>
      <c r="AO23" s="32"/>
      <c r="AP23" s="32"/>
      <c r="AQ23" s="32"/>
    </row>
    <row r="24" spans="1:43" ht="15.75" customHeight="1">
      <c r="A24" s="441" t="s">
        <v>3817</v>
      </c>
      <c r="B24" s="32" t="s">
        <v>245</v>
      </c>
      <c r="C24" s="246" t="s">
        <v>246</v>
      </c>
      <c r="D24" s="229"/>
      <c r="E24" s="18"/>
      <c r="F24" s="34" t="s">
        <v>247</v>
      </c>
      <c r="G24" s="17" t="s">
        <v>248</v>
      </c>
      <c r="H24" s="95" t="s">
        <v>249</v>
      </c>
      <c r="I24" s="43" t="s">
        <v>250</v>
      </c>
      <c r="J24" s="22"/>
      <c r="K24" s="22"/>
      <c r="L24" s="22"/>
      <c r="M24" s="43" t="s">
        <v>251</v>
      </c>
      <c r="N24" s="54" t="s">
        <v>252</v>
      </c>
      <c r="O24" s="54"/>
      <c r="P24" s="55"/>
      <c r="Q24" s="56"/>
      <c r="R24" s="96" t="s">
        <v>79</v>
      </c>
      <c r="S24" s="32" t="s">
        <v>41</v>
      </c>
      <c r="T24" s="21" t="s">
        <v>253</v>
      </c>
      <c r="U24" s="28"/>
      <c r="V24" s="28"/>
      <c r="W24" s="29"/>
      <c r="X24" s="29"/>
      <c r="Y24" s="30"/>
      <c r="Z24" s="30"/>
      <c r="AA24" s="30"/>
      <c r="AB24" s="41"/>
      <c r="AC24" s="32"/>
      <c r="AD24" s="32"/>
      <c r="AE24" s="32"/>
      <c r="AF24" s="32"/>
      <c r="AG24" s="32"/>
      <c r="AH24" s="32"/>
      <c r="AI24" s="32"/>
      <c r="AJ24" s="32"/>
      <c r="AK24" s="32"/>
      <c r="AL24" s="32"/>
      <c r="AM24" s="32"/>
      <c r="AN24" s="32"/>
      <c r="AO24" s="32"/>
      <c r="AP24" s="32"/>
      <c r="AQ24" s="32"/>
    </row>
    <row r="25" spans="1:43" ht="15.75" customHeight="1">
      <c r="A25" s="441" t="s">
        <v>3962</v>
      </c>
      <c r="B25" s="32" t="s">
        <v>245</v>
      </c>
      <c r="C25" s="246" t="s">
        <v>246</v>
      </c>
      <c r="D25" s="232"/>
      <c r="E25" s="58"/>
      <c r="F25" s="16" t="s">
        <v>254</v>
      </c>
      <c r="G25" s="32" t="s">
        <v>255</v>
      </c>
      <c r="H25" s="32" t="s">
        <v>256</v>
      </c>
      <c r="I25" s="43" t="s">
        <v>257</v>
      </c>
      <c r="J25" s="82"/>
      <c r="K25" s="82"/>
      <c r="L25" s="82"/>
      <c r="M25" s="36" t="s">
        <v>258</v>
      </c>
      <c r="N25" s="54" t="s">
        <v>259</v>
      </c>
      <c r="O25" s="54"/>
      <c r="P25" s="55"/>
      <c r="Q25" s="56"/>
      <c r="R25" s="96" t="s">
        <v>79</v>
      </c>
      <c r="S25" s="32" t="s">
        <v>41</v>
      </c>
      <c r="T25" s="21" t="s">
        <v>260</v>
      </c>
      <c r="U25" s="28"/>
      <c r="V25" s="28"/>
      <c r="W25" s="29"/>
      <c r="X25" s="29"/>
      <c r="Y25" s="30"/>
      <c r="Z25" s="30"/>
      <c r="AA25" s="30"/>
      <c r="AB25" s="41"/>
      <c r="AC25" s="32"/>
      <c r="AD25" s="32"/>
      <c r="AE25" s="32"/>
      <c r="AF25" s="32"/>
      <c r="AG25" s="32"/>
      <c r="AH25" s="32"/>
      <c r="AI25" s="32"/>
      <c r="AJ25" s="32"/>
      <c r="AK25" s="32"/>
      <c r="AL25" s="32"/>
      <c r="AM25" s="32"/>
      <c r="AN25" s="32"/>
      <c r="AO25" s="32"/>
      <c r="AP25" s="32"/>
      <c r="AQ25" s="32"/>
    </row>
    <row r="26" spans="1:43" ht="15.75" customHeight="1">
      <c r="A26" s="441" t="s">
        <v>3995</v>
      </c>
      <c r="B26" s="32" t="s">
        <v>245</v>
      </c>
      <c r="C26" s="246" t="s">
        <v>267</v>
      </c>
      <c r="D26" s="234" t="s">
        <v>268</v>
      </c>
      <c r="E26" s="58" t="s">
        <v>269</v>
      </c>
      <c r="F26" s="265" t="s">
        <v>270</v>
      </c>
      <c r="G26" s="32" t="s">
        <v>271</v>
      </c>
      <c r="H26" s="95" t="s">
        <v>272</v>
      </c>
      <c r="I26" s="43" t="s">
        <v>273</v>
      </c>
      <c r="J26" s="22"/>
      <c r="K26" s="22"/>
      <c r="L26" s="22"/>
      <c r="M26" s="53" t="s">
        <v>91</v>
      </c>
      <c r="N26" s="54" t="s">
        <v>274</v>
      </c>
      <c r="O26" s="54"/>
      <c r="P26" s="55"/>
      <c r="Q26" s="56"/>
      <c r="R26" s="39" t="s">
        <v>49</v>
      </c>
      <c r="S26" s="32" t="s">
        <v>41</v>
      </c>
      <c r="T26" s="97" t="s">
        <v>275</v>
      </c>
      <c r="U26" s="79"/>
      <c r="V26" s="79"/>
      <c r="W26" s="29" t="s">
        <v>165</v>
      </c>
      <c r="X26" s="297" t="s">
        <v>166</v>
      </c>
      <c r="Y26" s="61" t="s">
        <v>167</v>
      </c>
      <c r="Z26" s="30"/>
      <c r="AA26" s="30"/>
      <c r="AB26" s="41"/>
      <c r="AC26" s="32"/>
      <c r="AD26" s="32"/>
      <c r="AE26" s="32"/>
      <c r="AF26" s="32"/>
      <c r="AG26" s="32"/>
      <c r="AH26" s="32"/>
      <c r="AI26" s="32"/>
      <c r="AJ26" s="32"/>
      <c r="AK26" s="32"/>
      <c r="AL26" s="32"/>
      <c r="AM26" s="32"/>
      <c r="AN26" s="32"/>
      <c r="AO26" s="32"/>
      <c r="AP26" s="32"/>
      <c r="AQ26" s="32"/>
    </row>
    <row r="27" spans="1:43" ht="15.75" customHeight="1">
      <c r="A27" s="441" t="s">
        <v>3818</v>
      </c>
      <c r="B27" s="33" t="s">
        <v>276</v>
      </c>
      <c r="C27" s="246" t="s">
        <v>277</v>
      </c>
      <c r="D27" s="235" t="s">
        <v>278</v>
      </c>
      <c r="E27" s="58"/>
      <c r="F27" s="16" t="s">
        <v>279</v>
      </c>
      <c r="G27" s="32" t="s">
        <v>280</v>
      </c>
      <c r="H27" s="32" t="s">
        <v>281</v>
      </c>
      <c r="I27" s="43" t="s">
        <v>282</v>
      </c>
      <c r="J27" s="35"/>
      <c r="K27" s="22"/>
      <c r="L27" s="22" t="s">
        <v>283</v>
      </c>
      <c r="M27" s="53" t="s">
        <v>284</v>
      </c>
      <c r="N27" s="54" t="s">
        <v>285</v>
      </c>
      <c r="O27" s="54"/>
      <c r="P27" s="55"/>
      <c r="Q27" s="56"/>
      <c r="R27" s="305" t="s">
        <v>40</v>
      </c>
      <c r="S27" s="32"/>
      <c r="T27" s="433"/>
      <c r="U27" s="435" t="s">
        <v>286</v>
      </c>
      <c r="V27" s="435" t="s">
        <v>287</v>
      </c>
      <c r="W27" s="29"/>
      <c r="X27" s="29"/>
      <c r="Y27" s="164" t="s">
        <v>288</v>
      </c>
      <c r="Z27" s="30"/>
      <c r="AA27" s="30"/>
      <c r="AB27" s="41"/>
      <c r="AC27" s="32"/>
      <c r="AD27" s="99"/>
      <c r="AE27" s="32"/>
      <c r="AF27" s="32"/>
      <c r="AG27" s="32"/>
      <c r="AH27" s="32"/>
      <c r="AI27" s="32"/>
      <c r="AJ27" s="32"/>
      <c r="AK27" s="32"/>
      <c r="AL27" s="32"/>
      <c r="AM27" s="32"/>
      <c r="AN27" s="32"/>
      <c r="AO27" s="32"/>
      <c r="AP27" s="32"/>
      <c r="AQ27" s="32"/>
    </row>
    <row r="28" spans="1:43" ht="15.75" customHeight="1">
      <c r="A28" s="441" t="s">
        <v>3819</v>
      </c>
      <c r="B28" s="33" t="s">
        <v>289</v>
      </c>
      <c r="C28" s="246" t="s">
        <v>277</v>
      </c>
      <c r="D28" s="236" t="s">
        <v>278</v>
      </c>
      <c r="E28" s="99" t="s">
        <v>4012</v>
      </c>
      <c r="F28" s="16" t="s">
        <v>290</v>
      </c>
      <c r="G28" s="32"/>
      <c r="H28" s="32" t="s">
        <v>291</v>
      </c>
      <c r="I28" s="43" t="s">
        <v>292</v>
      </c>
      <c r="J28" s="35"/>
      <c r="K28" s="432"/>
      <c r="L28" s="68" t="s">
        <v>283</v>
      </c>
      <c r="M28" s="53" t="s">
        <v>293</v>
      </c>
      <c r="N28" s="54" t="s">
        <v>294</v>
      </c>
      <c r="O28" s="54"/>
      <c r="P28" s="55"/>
      <c r="Q28" s="56"/>
      <c r="R28" s="305" t="s">
        <v>40</v>
      </c>
      <c r="S28" s="32" t="s">
        <v>41</v>
      </c>
      <c r="T28" s="433" t="s">
        <v>295</v>
      </c>
      <c r="U28" s="435" t="s">
        <v>286</v>
      </c>
      <c r="V28" s="435" t="s">
        <v>287</v>
      </c>
      <c r="W28" s="437"/>
      <c r="X28" s="72"/>
      <c r="Y28" s="30" t="s">
        <v>296</v>
      </c>
      <c r="Z28" s="30"/>
      <c r="AA28" s="30"/>
      <c r="AB28" s="41"/>
      <c r="AC28" s="32"/>
      <c r="AD28" s="438" t="s">
        <v>297</v>
      </c>
      <c r="AE28" s="32"/>
      <c r="AF28" s="32"/>
      <c r="AG28" s="32"/>
      <c r="AH28" s="32"/>
      <c r="AI28" s="32"/>
      <c r="AJ28" s="32"/>
      <c r="AK28" s="32"/>
      <c r="AL28" s="32"/>
      <c r="AM28" s="32"/>
      <c r="AN28" s="32"/>
      <c r="AO28" s="32"/>
      <c r="AP28" s="32"/>
      <c r="AQ28" s="32"/>
    </row>
    <row r="29" spans="1:43" ht="15.75" customHeight="1">
      <c r="A29" s="441" t="s">
        <v>3820</v>
      </c>
      <c r="B29" s="33" t="s">
        <v>289</v>
      </c>
      <c r="C29" s="247" t="s">
        <v>3778</v>
      </c>
      <c r="D29" s="229"/>
      <c r="E29" s="443"/>
      <c r="F29" s="34" t="s">
        <v>298</v>
      </c>
      <c r="G29" s="17" t="s">
        <v>299</v>
      </c>
      <c r="H29" s="95" t="s">
        <v>300</v>
      </c>
      <c r="I29" s="32" t="s">
        <v>301</v>
      </c>
      <c r="J29" s="431" t="s">
        <v>302</v>
      </c>
      <c r="K29" s="103"/>
      <c r="L29" s="107"/>
      <c r="M29" s="36" t="s">
        <v>136</v>
      </c>
      <c r="N29" s="54" t="s">
        <v>303</v>
      </c>
      <c r="O29" s="54"/>
      <c r="P29" s="55"/>
      <c r="Q29" s="56"/>
      <c r="R29" s="309" t="s">
        <v>138</v>
      </c>
      <c r="S29" s="32" t="s">
        <v>41</v>
      </c>
      <c r="T29" s="104" t="s">
        <v>304</v>
      </c>
      <c r="U29" s="105"/>
      <c r="V29" s="105"/>
      <c r="W29" s="29"/>
      <c r="X29" s="29"/>
      <c r="Y29" s="102"/>
      <c r="Z29" s="30"/>
      <c r="AA29" s="30"/>
      <c r="AB29" s="46" t="s">
        <v>305</v>
      </c>
      <c r="AC29" s="32"/>
      <c r="AD29" s="106"/>
      <c r="AE29" s="32"/>
      <c r="AF29" s="32"/>
      <c r="AG29" s="32"/>
      <c r="AH29" s="32"/>
      <c r="AI29" s="32"/>
      <c r="AJ29" s="32"/>
      <c r="AK29" s="32"/>
      <c r="AL29" s="32"/>
      <c r="AM29" s="32"/>
      <c r="AN29" s="32"/>
      <c r="AO29" s="32"/>
      <c r="AP29" s="32"/>
      <c r="AQ29" s="32"/>
    </row>
    <row r="30" spans="1:43" ht="15.75" customHeight="1">
      <c r="A30" s="441" t="s">
        <v>3821</v>
      </c>
      <c r="B30" s="32" t="s">
        <v>306</v>
      </c>
      <c r="C30" s="246" t="s">
        <v>268</v>
      </c>
      <c r="D30" s="237"/>
      <c r="E30" s="99"/>
      <c r="F30" s="16" t="s">
        <v>307</v>
      </c>
      <c r="G30" s="32" t="s">
        <v>308</v>
      </c>
      <c r="H30" s="40" t="s">
        <v>309</v>
      </c>
      <c r="I30" s="43" t="s">
        <v>310</v>
      </c>
      <c r="J30" s="82"/>
      <c r="K30" s="82"/>
      <c r="L30" s="22"/>
      <c r="M30" s="53" t="s">
        <v>91</v>
      </c>
      <c r="N30" s="54" t="s">
        <v>311</v>
      </c>
      <c r="O30" s="54"/>
      <c r="P30" s="55"/>
      <c r="Q30" s="56"/>
      <c r="R30" s="32" t="s">
        <v>49</v>
      </c>
      <c r="S30" s="32" t="s">
        <v>41</v>
      </c>
      <c r="T30" s="104" t="s">
        <v>312</v>
      </c>
      <c r="U30" s="436"/>
      <c r="V30" s="436"/>
      <c r="W30" s="29" t="s">
        <v>165</v>
      </c>
      <c r="X30" s="297" t="s">
        <v>166</v>
      </c>
      <c r="Y30" s="102" t="s">
        <v>167</v>
      </c>
      <c r="Z30" s="30"/>
      <c r="AA30" s="30"/>
      <c r="AB30" s="41"/>
      <c r="AC30" s="32"/>
      <c r="AD30" s="293"/>
      <c r="AE30" s="32"/>
      <c r="AF30" s="32"/>
      <c r="AG30" s="32"/>
      <c r="AH30" s="32"/>
      <c r="AI30" s="32"/>
      <c r="AJ30" s="32"/>
      <c r="AK30" s="32"/>
      <c r="AL30" s="32"/>
      <c r="AM30" s="32"/>
      <c r="AN30" s="32"/>
      <c r="AO30" s="32"/>
      <c r="AP30" s="32"/>
      <c r="AQ30" s="32"/>
    </row>
    <row r="31" spans="1:43" ht="15.75" customHeight="1">
      <c r="A31" s="441" t="s">
        <v>313</v>
      </c>
      <c r="B31" s="95" t="s">
        <v>289</v>
      </c>
      <c r="C31" s="247" t="s">
        <v>3777</v>
      </c>
      <c r="D31" s="229"/>
      <c r="E31" s="443"/>
      <c r="F31" s="34" t="s">
        <v>314</v>
      </c>
      <c r="G31" s="17" t="s">
        <v>315</v>
      </c>
      <c r="H31" s="95" t="s">
        <v>316</v>
      </c>
      <c r="I31" s="32" t="s">
        <v>317</v>
      </c>
      <c r="J31" s="68" t="s">
        <v>318</v>
      </c>
      <c r="K31" s="103"/>
      <c r="L31" s="103"/>
      <c r="M31" s="36" t="s">
        <v>136</v>
      </c>
      <c r="N31" s="38" t="s">
        <v>319</v>
      </c>
      <c r="O31" s="38"/>
      <c r="P31" s="25"/>
      <c r="Q31" s="56"/>
      <c r="R31" s="36" t="s">
        <v>138</v>
      </c>
      <c r="S31" s="32" t="s">
        <v>41</v>
      </c>
      <c r="T31" s="104" t="s">
        <v>320</v>
      </c>
      <c r="U31" s="105"/>
      <c r="V31" s="105"/>
      <c r="W31" s="29"/>
      <c r="X31" s="29"/>
      <c r="Y31" s="30"/>
      <c r="Z31" s="30"/>
      <c r="AA31" s="30"/>
      <c r="AB31" s="41"/>
      <c r="AC31" s="32"/>
      <c r="AD31" s="106"/>
      <c r="AE31" s="32"/>
      <c r="AF31" s="32"/>
      <c r="AG31" s="32"/>
      <c r="AH31" s="32"/>
      <c r="AI31" s="32"/>
      <c r="AJ31" s="32"/>
      <c r="AK31" s="32"/>
      <c r="AL31" s="32"/>
      <c r="AM31" s="32"/>
      <c r="AN31" s="32"/>
      <c r="AO31" s="32"/>
      <c r="AP31" s="32"/>
      <c r="AQ31" s="32"/>
    </row>
    <row r="32" spans="1:43" ht="15.75" customHeight="1">
      <c r="A32" s="441" t="s">
        <v>3822</v>
      </c>
      <c r="B32" s="95" t="s">
        <v>43</v>
      </c>
      <c r="C32" s="248" t="s">
        <v>3779</v>
      </c>
      <c r="D32" s="231" t="s">
        <v>277</v>
      </c>
      <c r="E32" s="99" t="s">
        <v>4013</v>
      </c>
      <c r="F32" s="16" t="s">
        <v>321</v>
      </c>
      <c r="G32" s="32" t="s">
        <v>322</v>
      </c>
      <c r="H32" s="32" t="s">
        <v>291</v>
      </c>
      <c r="I32" s="43" t="s">
        <v>323</v>
      </c>
      <c r="J32" s="35"/>
      <c r="K32" s="432"/>
      <c r="L32" s="432" t="s">
        <v>283</v>
      </c>
      <c r="M32" s="36" t="s">
        <v>293</v>
      </c>
      <c r="N32" s="73" t="s">
        <v>324</v>
      </c>
      <c r="O32" s="73"/>
      <c r="P32" s="74"/>
      <c r="Q32" s="75"/>
      <c r="R32" s="101" t="s">
        <v>40</v>
      </c>
      <c r="S32" s="36" t="s">
        <v>41</v>
      </c>
      <c r="T32" s="434" t="s">
        <v>325</v>
      </c>
      <c r="U32" s="435" t="s">
        <v>286</v>
      </c>
      <c r="V32" s="435" t="s">
        <v>287</v>
      </c>
      <c r="W32" s="415"/>
      <c r="X32" s="72"/>
      <c r="Y32" s="30" t="s">
        <v>326</v>
      </c>
      <c r="Z32" s="30"/>
      <c r="AA32" s="30"/>
      <c r="AB32" s="41"/>
      <c r="AC32" s="32"/>
      <c r="AD32" s="99"/>
      <c r="AE32" s="32"/>
      <c r="AF32" s="32"/>
      <c r="AG32" s="32"/>
      <c r="AH32" s="32"/>
      <c r="AI32" s="32"/>
      <c r="AJ32" s="32"/>
      <c r="AK32" s="32"/>
      <c r="AL32" s="32"/>
      <c r="AM32" s="32"/>
      <c r="AN32" s="32"/>
      <c r="AO32" s="32"/>
      <c r="AP32" s="32"/>
      <c r="AQ32" s="32"/>
    </row>
    <row r="33" spans="1:43" ht="15.75" customHeight="1">
      <c r="A33" s="441" t="s">
        <v>3823</v>
      </c>
      <c r="B33" s="14" t="s">
        <v>43</v>
      </c>
      <c r="C33" s="248" t="s">
        <v>3779</v>
      </c>
      <c r="D33" s="231" t="s">
        <v>277</v>
      </c>
      <c r="E33" s="99" t="s">
        <v>4013</v>
      </c>
      <c r="F33" s="16" t="s">
        <v>327</v>
      </c>
      <c r="G33" s="32" t="s">
        <v>328</v>
      </c>
      <c r="H33" s="32" t="s">
        <v>291</v>
      </c>
      <c r="I33" s="43" t="s">
        <v>329</v>
      </c>
      <c r="J33" s="107"/>
      <c r="K33" s="68"/>
      <c r="L33" s="68" t="s">
        <v>283</v>
      </c>
      <c r="M33" s="36" t="s">
        <v>293</v>
      </c>
      <c r="N33" s="73" t="s">
        <v>330</v>
      </c>
      <c r="O33" s="73"/>
      <c r="P33" s="74"/>
      <c r="Q33" s="75"/>
      <c r="R33" s="101" t="s">
        <v>40</v>
      </c>
      <c r="S33" s="36" t="s">
        <v>41</v>
      </c>
      <c r="T33" s="44" t="s">
        <v>331</v>
      </c>
      <c r="U33" s="45" t="s">
        <v>286</v>
      </c>
      <c r="V33" s="45" t="s">
        <v>287</v>
      </c>
      <c r="W33" s="110"/>
      <c r="X33" s="110"/>
      <c r="Y33" s="30" t="s">
        <v>332</v>
      </c>
      <c r="Z33" s="30"/>
      <c r="AA33" s="30"/>
      <c r="AB33" s="108"/>
      <c r="AC33" s="32"/>
      <c r="AD33" s="99"/>
      <c r="AE33" s="32"/>
      <c r="AF33" s="32"/>
      <c r="AG33" s="32"/>
      <c r="AH33" s="32"/>
      <c r="AI33" s="32"/>
      <c r="AJ33" s="32"/>
      <c r="AK33" s="32"/>
      <c r="AL33" s="32"/>
      <c r="AM33" s="32"/>
      <c r="AN33" s="32"/>
      <c r="AO33" s="32"/>
      <c r="AP33" s="32"/>
      <c r="AQ33" s="32"/>
    </row>
    <row r="34" spans="1:43" ht="15.75" customHeight="1">
      <c r="A34" s="441" t="s">
        <v>3824</v>
      </c>
      <c r="B34" s="14" t="s">
        <v>43</v>
      </c>
      <c r="C34" s="247" t="s">
        <v>3780</v>
      </c>
      <c r="D34" s="232"/>
      <c r="E34" s="58"/>
      <c r="F34" s="16" t="s">
        <v>333</v>
      </c>
      <c r="G34" s="32" t="s">
        <v>334</v>
      </c>
      <c r="H34" s="95" t="s">
        <v>335</v>
      </c>
      <c r="I34" s="43" t="s">
        <v>336</v>
      </c>
      <c r="J34" s="103" t="s">
        <v>318</v>
      </c>
      <c r="K34" s="103"/>
      <c r="L34" s="103"/>
      <c r="M34" s="36" t="s">
        <v>337</v>
      </c>
      <c r="N34" s="54" t="s">
        <v>338</v>
      </c>
      <c r="O34" s="54"/>
      <c r="P34" s="55"/>
      <c r="Q34" s="56"/>
      <c r="R34" s="36" t="s">
        <v>138</v>
      </c>
      <c r="S34" s="32" t="s">
        <v>41</v>
      </c>
      <c r="T34" s="104" t="s">
        <v>339</v>
      </c>
      <c r="U34" s="105"/>
      <c r="V34" s="105"/>
      <c r="W34" s="72" t="s">
        <v>340</v>
      </c>
      <c r="X34" s="128" t="s">
        <v>341</v>
      </c>
      <c r="Y34" s="30" t="s">
        <v>342</v>
      </c>
      <c r="Z34" s="30"/>
      <c r="AA34" s="30"/>
      <c r="AB34" s="41"/>
      <c r="AC34" s="32" t="s">
        <v>343</v>
      </c>
      <c r="AD34" s="439"/>
      <c r="AE34" s="32"/>
      <c r="AF34" s="32"/>
      <c r="AG34" s="32"/>
      <c r="AH34" s="32"/>
      <c r="AI34" s="32"/>
      <c r="AJ34" s="32"/>
      <c r="AK34" s="32"/>
      <c r="AL34" s="32"/>
      <c r="AM34" s="32"/>
      <c r="AN34" s="32"/>
      <c r="AO34" s="32"/>
      <c r="AP34" s="32"/>
      <c r="AQ34" s="32"/>
    </row>
    <row r="35" spans="1:43" ht="15.75" customHeight="1">
      <c r="A35" s="441" t="s">
        <v>344</v>
      </c>
      <c r="B35" s="32" t="s">
        <v>345</v>
      </c>
      <c r="C35" s="246" t="s">
        <v>346</v>
      </c>
      <c r="D35" s="231" t="s">
        <v>347</v>
      </c>
      <c r="E35" s="58"/>
      <c r="F35" s="16" t="s">
        <v>348</v>
      </c>
      <c r="G35" s="32" t="s">
        <v>349</v>
      </c>
      <c r="H35" s="48" t="s">
        <v>350</v>
      </c>
      <c r="I35" s="43" t="s">
        <v>351</v>
      </c>
      <c r="J35" s="22"/>
      <c r="K35" s="22"/>
      <c r="L35" s="22"/>
      <c r="M35" s="53" t="s">
        <v>91</v>
      </c>
      <c r="N35" s="54" t="s">
        <v>352</v>
      </c>
      <c r="O35" s="54"/>
      <c r="P35" s="55"/>
      <c r="Q35" s="56"/>
      <c r="R35" s="32" t="s">
        <v>49</v>
      </c>
      <c r="S35" s="32" t="s">
        <v>41</v>
      </c>
      <c r="T35" s="21" t="s">
        <v>353</v>
      </c>
      <c r="U35" s="28"/>
      <c r="V35" s="28"/>
      <c r="W35" s="29"/>
      <c r="X35" s="29"/>
      <c r="Y35" s="30"/>
      <c r="Z35" s="30"/>
      <c r="AA35" s="30"/>
      <c r="AB35" s="41"/>
      <c r="AC35" s="32"/>
      <c r="AD35" s="32"/>
      <c r="AE35" s="32"/>
      <c r="AF35" s="32"/>
      <c r="AG35" s="32"/>
      <c r="AH35" s="32"/>
      <c r="AI35" s="32"/>
      <c r="AJ35" s="32"/>
      <c r="AK35" s="32"/>
      <c r="AL35" s="32"/>
      <c r="AM35" s="32"/>
      <c r="AN35" s="32"/>
      <c r="AO35" s="32"/>
      <c r="AP35" s="32"/>
      <c r="AQ35" s="32"/>
    </row>
    <row r="36" spans="1:43" ht="15.75" customHeight="1">
      <c r="A36" s="441" t="s">
        <v>3825</v>
      </c>
      <c r="B36" s="14" t="s">
        <v>43</v>
      </c>
      <c r="C36" s="251" t="s">
        <v>354</v>
      </c>
      <c r="D36" s="232" t="s">
        <v>3781</v>
      </c>
      <c r="E36" s="58"/>
      <c r="F36" s="32" t="s">
        <v>171</v>
      </c>
      <c r="G36" s="32"/>
      <c r="H36" s="95" t="s">
        <v>355</v>
      </c>
      <c r="I36" s="43" t="s">
        <v>356</v>
      </c>
      <c r="J36" s="22" t="s">
        <v>357</v>
      </c>
      <c r="K36" s="35"/>
      <c r="L36" s="35"/>
      <c r="M36" s="53" t="s">
        <v>358</v>
      </c>
      <c r="N36" s="38" t="s">
        <v>359</v>
      </c>
      <c r="O36" s="38" t="s">
        <v>360</v>
      </c>
      <c r="P36" s="114"/>
      <c r="Q36" s="56" t="s">
        <v>361</v>
      </c>
      <c r="R36" s="113" t="s">
        <v>362</v>
      </c>
      <c r="S36" s="32" t="s">
        <v>41</v>
      </c>
      <c r="T36" s="21" t="s">
        <v>3996</v>
      </c>
      <c r="U36" s="28"/>
      <c r="V36" s="28"/>
      <c r="W36" s="29" t="s">
        <v>340</v>
      </c>
      <c r="X36" s="111" t="s">
        <v>363</v>
      </c>
      <c r="Y36" s="30" t="s">
        <v>364</v>
      </c>
      <c r="Z36" s="30"/>
      <c r="AA36" s="30"/>
      <c r="AB36" s="41"/>
      <c r="AC36" s="32"/>
      <c r="AD36" s="32"/>
      <c r="AE36" s="32"/>
      <c r="AF36" s="32"/>
      <c r="AG36" s="32"/>
      <c r="AH36" s="32"/>
      <c r="AI36" s="32"/>
      <c r="AJ36" s="32"/>
      <c r="AK36" s="32"/>
      <c r="AL36" s="32"/>
      <c r="AM36" s="32"/>
      <c r="AN36" s="32"/>
      <c r="AO36" s="32"/>
      <c r="AP36" s="32"/>
      <c r="AQ36" s="32"/>
    </row>
    <row r="37" spans="1:43" ht="15.75" customHeight="1">
      <c r="A37" s="441" t="s">
        <v>3826</v>
      </c>
      <c r="B37" s="14" t="s">
        <v>43</v>
      </c>
      <c r="C37" s="246" t="s">
        <v>354</v>
      </c>
      <c r="D37" s="232"/>
      <c r="E37" s="58"/>
      <c r="F37" s="32" t="s">
        <v>171</v>
      </c>
      <c r="G37" s="32"/>
      <c r="H37" s="14" t="s">
        <v>365</v>
      </c>
      <c r="I37" s="43" t="s">
        <v>366</v>
      </c>
      <c r="J37" s="22" t="s">
        <v>367</v>
      </c>
      <c r="K37" s="98"/>
      <c r="L37" s="98"/>
      <c r="M37" s="53" t="s">
        <v>368</v>
      </c>
      <c r="N37" s="38" t="s">
        <v>369</v>
      </c>
      <c r="O37" s="294" t="s">
        <v>360</v>
      </c>
      <c r="P37" s="401"/>
      <c r="Q37" s="56" t="s">
        <v>361</v>
      </c>
      <c r="R37" s="113" t="s">
        <v>370</v>
      </c>
      <c r="S37" s="32" t="s">
        <v>41</v>
      </c>
      <c r="T37" s="21" t="s">
        <v>3997</v>
      </c>
      <c r="U37" s="28"/>
      <c r="V37" s="28"/>
      <c r="W37" s="29"/>
      <c r="X37" s="29"/>
      <c r="Y37" s="30"/>
      <c r="Z37" s="30"/>
      <c r="AA37" s="30"/>
      <c r="AB37" s="41"/>
      <c r="AC37" s="32"/>
      <c r="AD37" s="32"/>
      <c r="AE37" s="32"/>
      <c r="AF37" s="32"/>
      <c r="AG37" s="32"/>
      <c r="AH37" s="32"/>
      <c r="AI37" s="32"/>
      <c r="AJ37" s="32"/>
      <c r="AK37" s="32"/>
      <c r="AL37" s="32"/>
      <c r="AM37" s="32"/>
      <c r="AN37" s="32"/>
      <c r="AO37" s="32"/>
      <c r="AP37" s="32"/>
      <c r="AQ37" s="32"/>
    </row>
    <row r="38" spans="1:43" ht="15.75" customHeight="1">
      <c r="A38" s="441" t="s">
        <v>371</v>
      </c>
      <c r="B38" s="17" t="s">
        <v>372</v>
      </c>
      <c r="C38" s="247" t="s">
        <v>3782</v>
      </c>
      <c r="D38" s="232"/>
      <c r="E38" s="58"/>
      <c r="F38" s="32" t="s">
        <v>171</v>
      </c>
      <c r="G38" s="32" t="s">
        <v>373</v>
      </c>
      <c r="H38" s="14" t="s">
        <v>173</v>
      </c>
      <c r="I38" s="43" t="s">
        <v>174</v>
      </c>
      <c r="J38" s="82"/>
      <c r="K38" s="82"/>
      <c r="L38" s="22"/>
      <c r="M38" s="33" t="s">
        <v>175</v>
      </c>
      <c r="N38" s="54" t="s">
        <v>374</v>
      </c>
      <c r="O38" s="394"/>
      <c r="P38" s="112"/>
      <c r="Q38" s="56"/>
      <c r="R38" s="32" t="s">
        <v>375</v>
      </c>
      <c r="S38" s="32" t="s">
        <v>41</v>
      </c>
      <c r="T38" s="21" t="s">
        <v>3998</v>
      </c>
      <c r="U38" s="28"/>
      <c r="V38" s="28"/>
      <c r="W38" s="29"/>
      <c r="X38" s="29"/>
      <c r="Y38" s="30"/>
      <c r="Z38" s="30"/>
      <c r="AA38" s="30"/>
      <c r="AB38" s="41"/>
      <c r="AC38" s="32"/>
      <c r="AD38" s="32"/>
      <c r="AE38" s="32"/>
      <c r="AF38" s="32"/>
      <c r="AG38" s="32"/>
      <c r="AH38" s="32"/>
      <c r="AI38" s="32"/>
      <c r="AJ38" s="32"/>
      <c r="AK38" s="32"/>
      <c r="AL38" s="32"/>
      <c r="AM38" s="32"/>
      <c r="AN38" s="32"/>
      <c r="AO38" s="32"/>
      <c r="AP38" s="32"/>
      <c r="AQ38" s="32"/>
    </row>
    <row r="39" spans="1:43" ht="15.75" customHeight="1">
      <c r="A39" s="441" t="s">
        <v>3993</v>
      </c>
      <c r="B39" s="14" t="s">
        <v>43</v>
      </c>
      <c r="C39" s="430" t="s">
        <v>3776</v>
      </c>
      <c r="D39" s="231" t="s">
        <v>178</v>
      </c>
      <c r="E39" s="58" t="s">
        <v>179</v>
      </c>
      <c r="F39" s="32" t="s">
        <v>261</v>
      </c>
      <c r="G39" s="32" t="s">
        <v>262</v>
      </c>
      <c r="H39" s="48" t="s">
        <v>263</v>
      </c>
      <c r="I39" s="33" t="s">
        <v>264</v>
      </c>
      <c r="J39" s="22"/>
      <c r="K39" s="22"/>
      <c r="L39" s="22"/>
      <c r="M39" s="53" t="s">
        <v>183</v>
      </c>
      <c r="N39" s="38" t="s">
        <v>184</v>
      </c>
      <c r="O39" s="38"/>
      <c r="P39" s="55"/>
      <c r="Q39" s="26"/>
      <c r="R39" s="32" t="s">
        <v>185</v>
      </c>
      <c r="S39" s="32" t="s">
        <v>41</v>
      </c>
      <c r="T39" s="21" t="s">
        <v>3999</v>
      </c>
      <c r="U39" s="28"/>
      <c r="V39" s="28"/>
      <c r="W39" s="29"/>
      <c r="X39" s="29"/>
      <c r="Y39" s="30"/>
      <c r="Z39" s="30"/>
      <c r="AA39" s="30"/>
      <c r="AB39" s="41"/>
      <c r="AC39" s="32"/>
      <c r="AD39" s="32"/>
      <c r="AE39" s="32"/>
      <c r="AF39" s="32"/>
      <c r="AG39" s="32"/>
      <c r="AH39" s="32"/>
      <c r="AI39" s="32"/>
      <c r="AJ39" s="32"/>
      <c r="AK39" s="32"/>
      <c r="AL39" s="32"/>
      <c r="AM39" s="32"/>
      <c r="AN39" s="32"/>
      <c r="AO39" s="32"/>
      <c r="AP39" s="32"/>
      <c r="AQ39" s="32"/>
    </row>
    <row r="40" spans="1:43" ht="15.75" customHeight="1">
      <c r="A40" s="441" t="s">
        <v>3994</v>
      </c>
      <c r="B40" s="14" t="s">
        <v>43</v>
      </c>
      <c r="C40" s="247" t="s">
        <v>3776</v>
      </c>
      <c r="D40" s="231" t="s">
        <v>178</v>
      </c>
      <c r="E40" s="58" t="s">
        <v>179</v>
      </c>
      <c r="F40" s="32" t="s">
        <v>261</v>
      </c>
      <c r="G40" s="21" t="s">
        <v>262</v>
      </c>
      <c r="H40" s="48" t="s">
        <v>265</v>
      </c>
      <c r="I40" s="43" t="s">
        <v>266</v>
      </c>
      <c r="J40" s="22"/>
      <c r="K40" s="22"/>
      <c r="L40" s="22"/>
      <c r="M40" s="53" t="s">
        <v>183</v>
      </c>
      <c r="N40" s="38" t="s">
        <v>184</v>
      </c>
      <c r="O40" s="38"/>
      <c r="P40" s="55"/>
      <c r="Q40" s="26"/>
      <c r="R40" s="32" t="s">
        <v>185</v>
      </c>
      <c r="S40" s="32" t="s">
        <v>41</v>
      </c>
      <c r="T40" s="21"/>
      <c r="U40" s="28"/>
      <c r="V40" s="28"/>
      <c r="W40" s="29"/>
      <c r="X40" s="29"/>
      <c r="Y40" s="30"/>
      <c r="Z40" s="30"/>
      <c r="AA40" s="30"/>
      <c r="AB40" s="41"/>
      <c r="AC40" s="32"/>
      <c r="AD40" s="32"/>
      <c r="AE40" s="32"/>
      <c r="AF40" s="32"/>
      <c r="AG40" s="32"/>
      <c r="AH40" s="32"/>
      <c r="AI40" s="32"/>
      <c r="AJ40" s="32"/>
      <c r="AK40" s="32"/>
      <c r="AL40" s="32"/>
      <c r="AM40" s="32"/>
      <c r="AN40" s="32"/>
      <c r="AO40" s="32"/>
      <c r="AP40" s="32"/>
      <c r="AQ40" s="32"/>
    </row>
    <row r="41" spans="1:43" ht="15.75" customHeight="1">
      <c r="A41" s="441" t="s">
        <v>376</v>
      </c>
      <c r="B41" s="14" t="s">
        <v>43</v>
      </c>
      <c r="C41" s="246" t="s">
        <v>377</v>
      </c>
      <c r="D41" s="232"/>
      <c r="E41" s="58"/>
      <c r="F41" s="265" t="s">
        <v>378</v>
      </c>
      <c r="G41" s="32"/>
      <c r="H41" s="48" t="s">
        <v>3935</v>
      </c>
      <c r="I41" s="43" t="s">
        <v>379</v>
      </c>
      <c r="J41" s="22"/>
      <c r="K41" s="22"/>
      <c r="L41" s="22" t="s">
        <v>380</v>
      </c>
      <c r="M41" s="95" t="s">
        <v>3934</v>
      </c>
      <c r="N41" s="54" t="s">
        <v>381</v>
      </c>
      <c r="O41" s="54"/>
      <c r="P41" s="55"/>
      <c r="Q41" s="56"/>
      <c r="R41" s="115" t="s">
        <v>382</v>
      </c>
      <c r="S41" s="87" t="s">
        <v>383</v>
      </c>
      <c r="T41" s="21"/>
      <c r="U41" s="28"/>
      <c r="V41" s="28"/>
      <c r="W41" s="29"/>
      <c r="X41" s="29"/>
      <c r="Y41" s="30"/>
      <c r="Z41" s="30"/>
      <c r="AA41" s="30"/>
      <c r="AB41" s="41"/>
      <c r="AC41" s="32"/>
      <c r="AD41" s="32"/>
      <c r="AE41" s="32"/>
      <c r="AF41" s="32"/>
      <c r="AG41" s="32"/>
      <c r="AH41" s="32"/>
      <c r="AI41" s="32"/>
      <c r="AJ41" s="32"/>
      <c r="AK41" s="32"/>
      <c r="AL41" s="32"/>
      <c r="AM41" s="32"/>
      <c r="AN41" s="32"/>
      <c r="AO41" s="32"/>
      <c r="AP41" s="32"/>
      <c r="AQ41" s="32"/>
    </row>
    <row r="42" spans="1:43" ht="15.75" customHeight="1">
      <c r="A42" s="441" t="s">
        <v>3827</v>
      </c>
      <c r="B42" s="14" t="s">
        <v>43</v>
      </c>
      <c r="C42" s="247" t="s">
        <v>3783</v>
      </c>
      <c r="D42" s="232"/>
      <c r="E42" s="58"/>
      <c r="F42" s="16" t="s">
        <v>384</v>
      </c>
      <c r="G42" s="32" t="s">
        <v>385</v>
      </c>
      <c r="H42" s="95" t="s">
        <v>386</v>
      </c>
      <c r="I42" s="43" t="s">
        <v>387</v>
      </c>
      <c r="J42" s="116" t="s">
        <v>388</v>
      </c>
      <c r="K42" s="107"/>
      <c r="L42" s="107"/>
      <c r="M42" s="53" t="s">
        <v>337</v>
      </c>
      <c r="N42" s="54" t="s">
        <v>389</v>
      </c>
      <c r="O42" s="54"/>
      <c r="P42" s="55"/>
      <c r="Q42" s="56"/>
      <c r="R42" s="43" t="s">
        <v>390</v>
      </c>
      <c r="S42" s="32" t="s">
        <v>41</v>
      </c>
      <c r="T42" s="21"/>
      <c r="U42" s="28"/>
      <c r="V42" s="28"/>
      <c r="W42" s="29"/>
      <c r="X42" s="29"/>
      <c r="Y42" s="30"/>
      <c r="Z42" s="30"/>
      <c r="AA42" s="30"/>
      <c r="AB42" s="46" t="s">
        <v>391</v>
      </c>
      <c r="AC42" s="32"/>
      <c r="AD42" s="32"/>
      <c r="AE42" s="32"/>
      <c r="AF42" s="32"/>
      <c r="AG42" s="32"/>
      <c r="AH42" s="32"/>
      <c r="AI42" s="32"/>
      <c r="AJ42" s="32"/>
      <c r="AK42" s="32"/>
      <c r="AL42" s="32"/>
      <c r="AM42" s="32"/>
      <c r="AN42" s="32"/>
      <c r="AO42" s="32"/>
      <c r="AP42" s="32"/>
      <c r="AQ42" s="32"/>
    </row>
    <row r="43" spans="1:43" ht="15.75" customHeight="1">
      <c r="A43" s="441" t="s">
        <v>3828</v>
      </c>
      <c r="B43" s="14" t="s">
        <v>43</v>
      </c>
      <c r="C43" s="247" t="s">
        <v>3783</v>
      </c>
      <c r="D43" s="232"/>
      <c r="E43" s="58"/>
      <c r="F43" s="16" t="s">
        <v>392</v>
      </c>
      <c r="G43" s="32" t="s">
        <v>393</v>
      </c>
      <c r="H43" s="95" t="s">
        <v>394</v>
      </c>
      <c r="I43" s="43" t="s">
        <v>395</v>
      </c>
      <c r="J43" s="117" t="s">
        <v>396</v>
      </c>
      <c r="K43" s="117"/>
      <c r="L43" s="117"/>
      <c r="M43" s="53" t="s">
        <v>337</v>
      </c>
      <c r="N43" s="54" t="s">
        <v>397</v>
      </c>
      <c r="O43" s="54"/>
      <c r="P43" s="55"/>
      <c r="Q43" s="56"/>
      <c r="R43" s="43" t="s">
        <v>390</v>
      </c>
      <c r="S43" s="32" t="s">
        <v>41</v>
      </c>
      <c r="T43" s="21"/>
      <c r="U43" s="28"/>
      <c r="V43" s="28"/>
      <c r="W43" s="29" t="s">
        <v>398</v>
      </c>
      <c r="X43" s="118" t="s">
        <v>399</v>
      </c>
      <c r="Y43" s="30" t="s">
        <v>3952</v>
      </c>
      <c r="Z43" s="30"/>
      <c r="AA43" s="30"/>
      <c r="AB43" s="41"/>
      <c r="AC43" s="32"/>
      <c r="AD43" s="32"/>
      <c r="AE43" s="32"/>
      <c r="AF43" s="32"/>
      <c r="AG43" s="32"/>
      <c r="AH43" s="32"/>
      <c r="AI43" s="32"/>
      <c r="AJ43" s="32"/>
      <c r="AK43" s="32"/>
      <c r="AL43" s="32"/>
      <c r="AM43" s="32"/>
      <c r="AN43" s="32"/>
      <c r="AO43" s="32"/>
      <c r="AP43" s="32"/>
      <c r="AQ43" s="32"/>
    </row>
    <row r="44" spans="1:43" ht="15.75" customHeight="1">
      <c r="A44" s="441" t="s">
        <v>400</v>
      </c>
      <c r="B44" s="32" t="s">
        <v>401</v>
      </c>
      <c r="C44" s="246" t="s">
        <v>402</v>
      </c>
      <c r="D44" s="232"/>
      <c r="E44" s="58"/>
      <c r="F44" s="16" t="s">
        <v>403</v>
      </c>
      <c r="G44" s="32" t="s">
        <v>404</v>
      </c>
      <c r="H44" s="357" t="s">
        <v>405</v>
      </c>
      <c r="I44" s="43" t="s">
        <v>118</v>
      </c>
      <c r="J44" s="82"/>
      <c r="K44" s="82"/>
      <c r="L44" s="22"/>
      <c r="M44" s="53" t="s">
        <v>91</v>
      </c>
      <c r="N44" s="73" t="s">
        <v>406</v>
      </c>
      <c r="O44" s="73"/>
      <c r="P44" s="74"/>
      <c r="Q44" s="64"/>
      <c r="R44" s="32" t="s">
        <v>49</v>
      </c>
      <c r="S44" s="32" t="s">
        <v>41</v>
      </c>
      <c r="T44" s="21"/>
      <c r="U44" s="28"/>
      <c r="V44" s="28"/>
      <c r="W44" s="29"/>
      <c r="X44" s="29"/>
      <c r="Y44" s="30"/>
      <c r="Z44" s="30"/>
      <c r="AA44" s="30"/>
      <c r="AB44" s="41"/>
      <c r="AC44" s="32"/>
      <c r="AD44" s="32"/>
      <c r="AE44" s="32"/>
      <c r="AF44" s="32"/>
      <c r="AG44" s="32"/>
      <c r="AH44" s="32"/>
      <c r="AI44" s="32"/>
      <c r="AJ44" s="32"/>
      <c r="AK44" s="32"/>
      <c r="AL44" s="32"/>
      <c r="AM44" s="32"/>
      <c r="AN44" s="32"/>
      <c r="AO44" s="32"/>
      <c r="AP44" s="32"/>
      <c r="AQ44" s="32"/>
    </row>
    <row r="45" spans="1:43" ht="15.75" customHeight="1">
      <c r="A45" s="441" t="s">
        <v>407</v>
      </c>
      <c r="B45" s="32" t="s">
        <v>408</v>
      </c>
      <c r="C45" s="248" t="s">
        <v>142</v>
      </c>
      <c r="D45" s="232"/>
      <c r="E45" s="58"/>
      <c r="F45" s="16" t="s">
        <v>409</v>
      </c>
      <c r="G45" s="32" t="s">
        <v>410</v>
      </c>
      <c r="H45" s="95" t="s">
        <v>411</v>
      </c>
      <c r="I45" s="43" t="s">
        <v>412</v>
      </c>
      <c r="J45" s="98"/>
      <c r="K45" s="82"/>
      <c r="L45" s="82" t="s">
        <v>413</v>
      </c>
      <c r="M45" s="36" t="s">
        <v>104</v>
      </c>
      <c r="N45" s="54" t="s">
        <v>414</v>
      </c>
      <c r="O45" s="54"/>
      <c r="P45" s="55"/>
      <c r="Q45" s="56"/>
      <c r="R45" s="115" t="s">
        <v>79</v>
      </c>
      <c r="S45" s="32" t="s">
        <v>41</v>
      </c>
      <c r="T45" s="119"/>
      <c r="U45" s="120"/>
      <c r="V45" s="120"/>
      <c r="W45" s="111"/>
      <c r="X45" s="111"/>
      <c r="Y45" s="30"/>
      <c r="Z45" s="30"/>
      <c r="AA45" s="30"/>
      <c r="AB45" s="41"/>
      <c r="AC45" s="32"/>
      <c r="AD45" s="32"/>
      <c r="AE45" s="32"/>
      <c r="AF45" s="32"/>
      <c r="AG45" s="32"/>
      <c r="AH45" s="32"/>
      <c r="AI45" s="32"/>
      <c r="AJ45" s="32"/>
      <c r="AK45" s="32"/>
      <c r="AL45" s="32"/>
      <c r="AM45" s="32"/>
      <c r="AN45" s="32"/>
      <c r="AO45" s="32"/>
      <c r="AP45" s="32"/>
      <c r="AQ45" s="32"/>
    </row>
    <row r="46" spans="1:43" ht="15.75" customHeight="1">
      <c r="A46" s="441" t="s">
        <v>3882</v>
      </c>
      <c r="B46" s="14" t="s">
        <v>43</v>
      </c>
      <c r="C46" s="247" t="s">
        <v>3784</v>
      </c>
      <c r="D46" s="232"/>
      <c r="E46" s="58"/>
      <c r="F46" s="16" t="s">
        <v>415</v>
      </c>
      <c r="G46" s="32" t="s">
        <v>416</v>
      </c>
      <c r="H46" s="95" t="s">
        <v>417</v>
      </c>
      <c r="I46" s="43" t="s">
        <v>418</v>
      </c>
      <c r="J46" s="107" t="s">
        <v>419</v>
      </c>
      <c r="K46" s="107"/>
      <c r="L46" s="107"/>
      <c r="M46" s="113" t="s">
        <v>337</v>
      </c>
      <c r="N46" s="54" t="s">
        <v>420</v>
      </c>
      <c r="O46" s="54"/>
      <c r="P46" s="55"/>
      <c r="Q46" s="56"/>
      <c r="R46" s="43" t="s">
        <v>390</v>
      </c>
      <c r="S46" s="32" t="s">
        <v>41</v>
      </c>
      <c r="T46" s="119"/>
      <c r="U46" s="120"/>
      <c r="V46" s="120"/>
      <c r="W46" s="111" t="s">
        <v>340</v>
      </c>
      <c r="X46" s="330" t="s">
        <v>421</v>
      </c>
      <c r="Y46" s="30" t="s">
        <v>422</v>
      </c>
      <c r="Z46" s="30"/>
      <c r="AA46" s="30"/>
      <c r="AB46" s="41"/>
      <c r="AC46" s="32" t="s">
        <v>343</v>
      </c>
      <c r="AD46" s="32"/>
      <c r="AE46" s="32"/>
      <c r="AF46" s="32"/>
      <c r="AG46" s="32"/>
      <c r="AH46" s="32"/>
      <c r="AI46" s="32"/>
      <c r="AJ46" s="32"/>
      <c r="AK46" s="32"/>
      <c r="AL46" s="32"/>
      <c r="AM46" s="32"/>
      <c r="AN46" s="32"/>
      <c r="AO46" s="32"/>
      <c r="AP46" s="32"/>
      <c r="AQ46" s="32"/>
    </row>
    <row r="47" spans="1:43" ht="15.75" customHeight="1">
      <c r="A47" s="441" t="s">
        <v>423</v>
      </c>
      <c r="B47" s="32" t="s">
        <v>408</v>
      </c>
      <c r="C47" s="247" t="s">
        <v>3785</v>
      </c>
      <c r="D47" s="232"/>
      <c r="E47" s="58"/>
      <c r="F47" s="16" t="s">
        <v>424</v>
      </c>
      <c r="G47" s="32" t="s">
        <v>425</v>
      </c>
      <c r="H47" s="40" t="s">
        <v>426</v>
      </c>
      <c r="I47" s="43" t="s">
        <v>427</v>
      </c>
      <c r="J47" s="22"/>
      <c r="K47" s="22"/>
      <c r="L47" s="22"/>
      <c r="M47" s="53" t="s">
        <v>91</v>
      </c>
      <c r="N47" s="73" t="s">
        <v>428</v>
      </c>
      <c r="O47" s="73"/>
      <c r="P47" s="74"/>
      <c r="Q47" s="75"/>
      <c r="R47" s="32" t="s">
        <v>49</v>
      </c>
      <c r="S47" s="32" t="s">
        <v>41</v>
      </c>
      <c r="T47" s="119"/>
      <c r="U47" s="120"/>
      <c r="V47" s="120"/>
      <c r="W47" s="111"/>
      <c r="X47" s="111"/>
      <c r="Y47" s="30"/>
      <c r="Z47" s="30"/>
      <c r="AA47" s="30"/>
      <c r="AB47" s="41"/>
      <c r="AC47" s="32"/>
      <c r="AD47" s="32"/>
      <c r="AE47" s="32"/>
      <c r="AF47" s="32"/>
      <c r="AG47" s="32"/>
      <c r="AH47" s="32"/>
      <c r="AI47" s="32"/>
      <c r="AJ47" s="32"/>
      <c r="AK47" s="32"/>
      <c r="AL47" s="32"/>
      <c r="AM47" s="32"/>
      <c r="AN47" s="32"/>
      <c r="AO47" s="32"/>
      <c r="AP47" s="32"/>
      <c r="AQ47" s="32"/>
    </row>
    <row r="48" spans="1:43" ht="15.75" customHeight="1">
      <c r="A48" s="441" t="s">
        <v>3883</v>
      </c>
      <c r="B48" s="32" t="s">
        <v>429</v>
      </c>
      <c r="C48" s="247" t="s">
        <v>3786</v>
      </c>
      <c r="D48" s="232"/>
      <c r="E48" s="58"/>
      <c r="F48" s="16" t="s">
        <v>430</v>
      </c>
      <c r="G48" s="39"/>
      <c r="H48" s="48" t="s">
        <v>431</v>
      </c>
      <c r="I48" s="43" t="s">
        <v>432</v>
      </c>
      <c r="J48" s="22"/>
      <c r="K48" s="22"/>
      <c r="L48" s="22"/>
      <c r="M48" s="310" t="s">
        <v>433</v>
      </c>
      <c r="N48" s="54" t="s">
        <v>434</v>
      </c>
      <c r="O48" s="394" t="s">
        <v>435</v>
      </c>
      <c r="P48" s="112"/>
      <c r="Q48" s="56" t="s">
        <v>436</v>
      </c>
      <c r="R48" s="101" t="s">
        <v>40</v>
      </c>
      <c r="S48" s="32" t="s">
        <v>41</v>
      </c>
      <c r="T48" s="119" t="s">
        <v>437</v>
      </c>
      <c r="U48" s="120" t="s">
        <v>398</v>
      </c>
      <c r="V48" s="122" t="str">
        <f>HYPERLINK("http://bases-iremus.huma-num.fr/directus-rar/admin/content/personnes/a2a4d6b3-f8a9-4aae-8a3d-77abc6de01e9","Simon, Pierre (ca. 1640-1710)")</f>
        <v>Simon, Pierre (ca. 1640-1710)</v>
      </c>
      <c r="W48" s="111"/>
      <c r="X48" s="111"/>
      <c r="Y48" s="30"/>
      <c r="Z48" s="30"/>
      <c r="AA48" s="30"/>
      <c r="AB48" s="108"/>
      <c r="AC48" s="39"/>
      <c r="AD48" s="32"/>
      <c r="AE48" s="32"/>
      <c r="AF48" s="32"/>
      <c r="AG48" s="32"/>
      <c r="AH48" s="32"/>
      <c r="AI48" s="32"/>
      <c r="AJ48" s="32"/>
      <c r="AK48" s="32"/>
      <c r="AL48" s="32"/>
      <c r="AM48" s="32"/>
      <c r="AN48" s="32"/>
      <c r="AO48" s="32"/>
      <c r="AP48" s="32"/>
      <c r="AQ48" s="32"/>
    </row>
    <row r="49" spans="1:43" ht="15.75" customHeight="1">
      <c r="A49" s="441" t="s">
        <v>438</v>
      </c>
      <c r="B49" s="14" t="s">
        <v>439</v>
      </c>
      <c r="C49" s="246" t="s">
        <v>440</v>
      </c>
      <c r="D49" s="232"/>
      <c r="E49" s="58"/>
      <c r="F49" s="47" t="s">
        <v>441</v>
      </c>
      <c r="G49" s="123"/>
      <c r="H49" s="32" t="s">
        <v>442</v>
      </c>
      <c r="I49" s="43" t="s">
        <v>443</v>
      </c>
      <c r="J49" s="22"/>
      <c r="K49" s="22" t="s">
        <v>444</v>
      </c>
      <c r="L49" s="22"/>
      <c r="M49" s="43" t="s">
        <v>445</v>
      </c>
      <c r="N49" s="54" t="s">
        <v>446</v>
      </c>
      <c r="O49" s="394"/>
      <c r="P49" s="124" t="s">
        <v>447</v>
      </c>
      <c r="Q49" s="402" t="s">
        <v>448</v>
      </c>
      <c r="R49" s="115" t="s">
        <v>79</v>
      </c>
      <c r="S49" s="32" t="s">
        <v>41</v>
      </c>
      <c r="T49" s="88" t="s">
        <v>449</v>
      </c>
      <c r="U49" s="45" t="s">
        <v>398</v>
      </c>
      <c r="V49" s="45" t="s">
        <v>450</v>
      </c>
      <c r="W49" s="111"/>
      <c r="X49" s="60"/>
      <c r="Y49" s="30" t="s">
        <v>451</v>
      </c>
      <c r="Z49" s="30"/>
      <c r="AA49" s="30"/>
      <c r="AB49" s="41"/>
      <c r="AC49" s="32" t="s">
        <v>452</v>
      </c>
      <c r="AD49" s="32"/>
      <c r="AE49" s="32"/>
      <c r="AF49" s="32"/>
      <c r="AG49" s="32"/>
      <c r="AH49" s="32"/>
      <c r="AI49" s="32"/>
      <c r="AJ49" s="32"/>
      <c r="AK49" s="32"/>
      <c r="AL49" s="32"/>
      <c r="AM49" s="32"/>
      <c r="AN49" s="32"/>
      <c r="AO49" s="32"/>
      <c r="AP49" s="32"/>
      <c r="AQ49" s="32"/>
    </row>
    <row r="50" spans="1:43" ht="15.75" customHeight="1">
      <c r="A50" s="441" t="s">
        <v>3969</v>
      </c>
      <c r="B50" s="32" t="s">
        <v>429</v>
      </c>
      <c r="C50" s="247" t="s">
        <v>3787</v>
      </c>
      <c r="D50" s="232"/>
      <c r="E50" s="58"/>
      <c r="F50" s="47" t="s">
        <v>453</v>
      </c>
      <c r="G50" s="32" t="s">
        <v>454</v>
      </c>
      <c r="H50" s="119" t="s">
        <v>455</v>
      </c>
      <c r="I50" s="125" t="s">
        <v>456</v>
      </c>
      <c r="J50" s="22" t="s">
        <v>457</v>
      </c>
      <c r="K50" s="22"/>
      <c r="L50" s="22"/>
      <c r="M50" s="36" t="s">
        <v>136</v>
      </c>
      <c r="N50" s="54" t="s">
        <v>458</v>
      </c>
      <c r="O50" s="394"/>
      <c r="P50" s="112"/>
      <c r="Q50" s="402"/>
      <c r="R50" s="43" t="s">
        <v>138</v>
      </c>
      <c r="S50" s="32" t="s">
        <v>41</v>
      </c>
      <c r="T50" s="119" t="s">
        <v>459</v>
      </c>
      <c r="U50" s="120"/>
      <c r="V50" s="120"/>
      <c r="W50" s="111"/>
      <c r="X50" s="111"/>
      <c r="Y50" s="30"/>
      <c r="Z50" s="30"/>
      <c r="AA50" s="30"/>
      <c r="AB50" s="41"/>
      <c r="AC50" s="32"/>
      <c r="AD50" s="21"/>
      <c r="AE50" s="32"/>
      <c r="AF50" s="32"/>
      <c r="AG50" s="32"/>
      <c r="AH50" s="32"/>
      <c r="AI50" s="32"/>
      <c r="AJ50" s="32"/>
      <c r="AK50" s="32"/>
      <c r="AL50" s="32"/>
      <c r="AM50" s="32"/>
      <c r="AN50" s="32"/>
      <c r="AO50" s="32"/>
      <c r="AP50" s="32"/>
      <c r="AQ50" s="32"/>
    </row>
    <row r="51" spans="1:43" ht="15.75" customHeight="1">
      <c r="A51" s="441" t="s">
        <v>3968</v>
      </c>
      <c r="B51" s="14" t="s">
        <v>439</v>
      </c>
      <c r="C51" s="247" t="s">
        <v>3788</v>
      </c>
      <c r="D51" s="231" t="s">
        <v>460</v>
      </c>
      <c r="E51" s="58" t="s">
        <v>461</v>
      </c>
      <c r="F51" s="265" t="s">
        <v>462</v>
      </c>
      <c r="G51" s="32" t="s">
        <v>463</v>
      </c>
      <c r="H51" s="40" t="s">
        <v>464</v>
      </c>
      <c r="I51" s="43" t="s">
        <v>118</v>
      </c>
      <c r="J51" s="82"/>
      <c r="K51" s="82"/>
      <c r="L51" s="82"/>
      <c r="M51" s="126" t="s">
        <v>91</v>
      </c>
      <c r="N51" s="62" t="s">
        <v>465</v>
      </c>
      <c r="O51" s="62"/>
      <c r="P51" s="63"/>
      <c r="Q51" s="127"/>
      <c r="R51" s="32" t="s">
        <v>49</v>
      </c>
      <c r="S51" s="32" t="s">
        <v>41</v>
      </c>
      <c r="T51" s="119"/>
      <c r="U51" s="120"/>
      <c r="V51" s="120"/>
      <c r="W51" s="111"/>
      <c r="X51" s="128"/>
      <c r="Y51" s="30"/>
      <c r="Z51" s="30"/>
      <c r="AA51" s="30"/>
      <c r="AB51" s="41"/>
      <c r="AC51" s="32"/>
      <c r="AD51" s="32"/>
      <c r="AE51" s="32"/>
      <c r="AF51" s="32"/>
      <c r="AG51" s="32"/>
      <c r="AH51" s="32"/>
      <c r="AI51" s="32"/>
      <c r="AJ51" s="32"/>
      <c r="AK51" s="32"/>
      <c r="AL51" s="32"/>
      <c r="AM51" s="32"/>
      <c r="AN51" s="32"/>
      <c r="AO51" s="32"/>
      <c r="AP51" s="32"/>
      <c r="AQ51" s="32"/>
    </row>
    <row r="52" spans="1:43" ht="15.75" customHeight="1">
      <c r="A52" s="441" t="s">
        <v>3884</v>
      </c>
      <c r="B52" s="14" t="s">
        <v>466</v>
      </c>
      <c r="C52" s="246" t="s">
        <v>467</v>
      </c>
      <c r="D52" s="231" t="s">
        <v>468</v>
      </c>
      <c r="E52" s="58" t="s">
        <v>469</v>
      </c>
      <c r="F52" s="47" t="s">
        <v>470</v>
      </c>
      <c r="G52" s="32" t="s">
        <v>471</v>
      </c>
      <c r="H52" s="32" t="s">
        <v>472</v>
      </c>
      <c r="I52" s="43" t="s">
        <v>473</v>
      </c>
      <c r="J52" s="22"/>
      <c r="K52" s="22"/>
      <c r="L52" s="22" t="s">
        <v>474</v>
      </c>
      <c r="M52" s="95" t="s">
        <v>475</v>
      </c>
      <c r="N52" s="38" t="s">
        <v>476</v>
      </c>
      <c r="O52" s="38"/>
      <c r="P52" s="25"/>
      <c r="Q52" s="26"/>
      <c r="R52" s="101" t="s">
        <v>40</v>
      </c>
      <c r="S52" s="32" t="s">
        <v>41</v>
      </c>
      <c r="T52" s="119"/>
      <c r="U52" s="120"/>
      <c r="V52" s="120"/>
      <c r="W52" s="111" t="s">
        <v>398</v>
      </c>
      <c r="X52" s="111" t="s">
        <v>477</v>
      </c>
      <c r="Y52" s="30" t="s">
        <v>478</v>
      </c>
      <c r="Z52" s="30"/>
      <c r="AA52" s="30"/>
      <c r="AB52" s="31" t="s">
        <v>479</v>
      </c>
      <c r="AC52" s="47" t="s">
        <v>480</v>
      </c>
      <c r="AD52" s="32"/>
      <c r="AE52" s="32"/>
      <c r="AF52" s="32"/>
      <c r="AG52" s="32"/>
      <c r="AH52" s="32"/>
      <c r="AI52" s="32"/>
      <c r="AJ52" s="32"/>
      <c r="AK52" s="32"/>
      <c r="AL52" s="32"/>
      <c r="AM52" s="32"/>
      <c r="AN52" s="32"/>
      <c r="AO52" s="32"/>
      <c r="AP52" s="32"/>
      <c r="AQ52" s="32"/>
    </row>
    <row r="53" spans="1:43" ht="15.75" customHeight="1">
      <c r="A53" s="441" t="s">
        <v>481</v>
      </c>
      <c r="B53" s="14" t="s">
        <v>466</v>
      </c>
      <c r="C53" s="246" t="s">
        <v>482</v>
      </c>
      <c r="D53" s="232"/>
      <c r="E53" s="58"/>
      <c r="F53" s="16" t="s">
        <v>483</v>
      </c>
      <c r="G53" s="32" t="s">
        <v>484</v>
      </c>
      <c r="H53" s="14" t="s">
        <v>173</v>
      </c>
      <c r="I53" s="53" t="s">
        <v>174</v>
      </c>
      <c r="J53" s="82"/>
      <c r="K53" s="82"/>
      <c r="L53" s="22" t="s">
        <v>485</v>
      </c>
      <c r="M53" s="32" t="s">
        <v>486</v>
      </c>
      <c r="N53" s="54" t="s">
        <v>487</v>
      </c>
      <c r="O53" s="54" t="s">
        <v>488</v>
      </c>
      <c r="P53" s="55"/>
      <c r="Q53" s="56" t="s">
        <v>489</v>
      </c>
      <c r="R53" s="32" t="s">
        <v>375</v>
      </c>
      <c r="S53" s="32" t="s">
        <v>41</v>
      </c>
      <c r="T53" s="119"/>
      <c r="U53" s="120"/>
      <c r="V53" s="120"/>
      <c r="W53" s="128" t="s">
        <v>490</v>
      </c>
      <c r="X53" s="128" t="s">
        <v>52</v>
      </c>
      <c r="Y53" s="61" t="s">
        <v>491</v>
      </c>
      <c r="Z53" s="30"/>
      <c r="AA53" s="30"/>
      <c r="AB53" s="41"/>
      <c r="AC53" s="32"/>
      <c r="AD53" s="32"/>
      <c r="AE53" s="32"/>
      <c r="AF53" s="32"/>
      <c r="AG53" s="32"/>
      <c r="AH53" s="32"/>
      <c r="AI53" s="32"/>
      <c r="AJ53" s="32"/>
      <c r="AK53" s="32"/>
      <c r="AL53" s="32"/>
      <c r="AM53" s="32"/>
      <c r="AN53" s="32"/>
      <c r="AO53" s="32"/>
      <c r="AP53" s="32"/>
      <c r="AQ53" s="32"/>
    </row>
    <row r="54" spans="1:43" ht="15.75" customHeight="1">
      <c r="A54" s="441" t="s">
        <v>3885</v>
      </c>
      <c r="B54" s="129" t="s">
        <v>492</v>
      </c>
      <c r="C54" s="246" t="s">
        <v>468</v>
      </c>
      <c r="D54" s="232"/>
      <c r="E54" s="58"/>
      <c r="F54" s="16" t="s">
        <v>493</v>
      </c>
      <c r="G54" s="32"/>
      <c r="H54" s="95" t="s">
        <v>4026</v>
      </c>
      <c r="I54" s="43" t="s">
        <v>494</v>
      </c>
      <c r="J54" s="35"/>
      <c r="K54" s="22"/>
      <c r="L54" s="22" t="s">
        <v>495</v>
      </c>
      <c r="M54" s="43" t="s">
        <v>496</v>
      </c>
      <c r="N54" s="38" t="s">
        <v>497</v>
      </c>
      <c r="O54" s="38"/>
      <c r="P54" s="25"/>
      <c r="Q54" s="26"/>
      <c r="R54" s="113" t="s">
        <v>370</v>
      </c>
      <c r="S54" s="32" t="s">
        <v>41</v>
      </c>
      <c r="T54" s="119"/>
      <c r="U54" s="120"/>
      <c r="V54" s="120"/>
      <c r="W54" s="110"/>
      <c r="X54" s="130" t="s">
        <v>498</v>
      </c>
      <c r="Y54" s="61" t="s">
        <v>499</v>
      </c>
      <c r="Z54" s="30"/>
      <c r="AA54" s="30"/>
      <c r="AB54" s="41"/>
      <c r="AC54" s="32" t="s">
        <v>500</v>
      </c>
      <c r="AD54" s="32"/>
      <c r="AE54" s="32"/>
      <c r="AF54" s="32"/>
      <c r="AG54" s="32"/>
      <c r="AH54" s="32"/>
      <c r="AI54" s="32"/>
      <c r="AJ54" s="32"/>
      <c r="AK54" s="32"/>
      <c r="AL54" s="32"/>
      <c r="AM54" s="32"/>
      <c r="AN54" s="32"/>
      <c r="AO54" s="32"/>
      <c r="AP54" s="32"/>
      <c r="AQ54" s="32"/>
    </row>
    <row r="55" spans="1:43" ht="15.75" customHeight="1">
      <c r="A55" s="441" t="s">
        <v>501</v>
      </c>
      <c r="B55" s="32" t="s">
        <v>43</v>
      </c>
      <c r="C55" s="247" t="s">
        <v>3789</v>
      </c>
      <c r="D55" s="232"/>
      <c r="E55" s="58"/>
      <c r="F55" s="47" t="s">
        <v>502</v>
      </c>
      <c r="G55" s="32" t="s">
        <v>503</v>
      </c>
      <c r="H55" s="48" t="s">
        <v>504</v>
      </c>
      <c r="I55" s="43" t="s">
        <v>505</v>
      </c>
      <c r="J55" s="22" t="s">
        <v>419</v>
      </c>
      <c r="K55" s="22"/>
      <c r="L55" s="22"/>
      <c r="M55" s="36" t="s">
        <v>136</v>
      </c>
      <c r="N55" s="38" t="s">
        <v>506</v>
      </c>
      <c r="O55" s="38"/>
      <c r="P55" s="25"/>
      <c r="Q55" s="26"/>
      <c r="R55" s="32" t="s">
        <v>138</v>
      </c>
      <c r="S55" s="32" t="s">
        <v>41</v>
      </c>
      <c r="T55" s="119"/>
      <c r="U55" s="120"/>
      <c r="V55" s="120"/>
      <c r="W55" s="128"/>
      <c r="X55" s="111"/>
      <c r="Y55" s="30"/>
      <c r="Z55" s="30"/>
      <c r="AA55" s="30"/>
      <c r="AB55" s="41"/>
      <c r="AC55" s="32"/>
      <c r="AD55" s="21"/>
      <c r="AE55" s="32"/>
      <c r="AF55" s="32"/>
      <c r="AG55" s="32"/>
      <c r="AH55" s="32"/>
      <c r="AI55" s="32"/>
      <c r="AJ55" s="32"/>
      <c r="AK55" s="32"/>
      <c r="AL55" s="32"/>
      <c r="AM55" s="32"/>
      <c r="AN55" s="32"/>
      <c r="AO55" s="32"/>
      <c r="AP55" s="32"/>
      <c r="AQ55" s="32"/>
    </row>
    <row r="56" spans="1:43" ht="15.75" customHeight="1">
      <c r="A56" s="441" t="s">
        <v>507</v>
      </c>
      <c r="B56" s="32" t="s">
        <v>43</v>
      </c>
      <c r="C56" s="248" t="s">
        <v>142</v>
      </c>
      <c r="D56" s="232"/>
      <c r="E56" s="58"/>
      <c r="F56" s="16" t="s">
        <v>508</v>
      </c>
      <c r="G56" s="32" t="s">
        <v>509</v>
      </c>
      <c r="H56" s="95" t="s">
        <v>510</v>
      </c>
      <c r="I56" s="125" t="s">
        <v>511</v>
      </c>
      <c r="J56" s="22"/>
      <c r="K56" s="22"/>
      <c r="L56" s="22" t="s">
        <v>512</v>
      </c>
      <c r="M56" s="43" t="s">
        <v>513</v>
      </c>
      <c r="N56" s="131" t="s">
        <v>514</v>
      </c>
      <c r="O56" s="131" t="s">
        <v>515</v>
      </c>
      <c r="P56" s="74"/>
      <c r="Q56" s="75" t="s">
        <v>516</v>
      </c>
      <c r="R56" s="32" t="s">
        <v>517</v>
      </c>
      <c r="S56" s="32" t="s">
        <v>41</v>
      </c>
      <c r="T56" s="119"/>
      <c r="U56" s="120"/>
      <c r="V56" s="120"/>
      <c r="W56" s="111"/>
      <c r="X56" s="111"/>
      <c r="Y56" s="30"/>
      <c r="Z56" s="30"/>
      <c r="AA56" s="30"/>
      <c r="AB56" s="46" t="s">
        <v>518</v>
      </c>
      <c r="AC56" s="47" t="s">
        <v>519</v>
      </c>
      <c r="AD56" s="32"/>
      <c r="AE56" s="32"/>
      <c r="AF56" s="32"/>
      <c r="AG56" s="32"/>
      <c r="AH56" s="32"/>
      <c r="AI56" s="32"/>
      <c r="AJ56" s="32"/>
      <c r="AK56" s="32"/>
      <c r="AL56" s="32"/>
      <c r="AM56" s="32"/>
      <c r="AN56" s="32"/>
      <c r="AO56" s="32"/>
      <c r="AP56" s="32"/>
      <c r="AQ56" s="32"/>
    </row>
    <row r="57" spans="1:43" ht="15.75" customHeight="1">
      <c r="A57" s="441" t="s">
        <v>3886</v>
      </c>
      <c r="B57" s="32" t="s">
        <v>43</v>
      </c>
      <c r="C57" s="246" t="s">
        <v>460</v>
      </c>
      <c r="D57" s="232"/>
      <c r="E57" s="58"/>
      <c r="F57" s="16" t="s">
        <v>520</v>
      </c>
      <c r="G57" s="32" t="s">
        <v>521</v>
      </c>
      <c r="H57" s="48" t="s">
        <v>522</v>
      </c>
      <c r="I57" s="43" t="s">
        <v>118</v>
      </c>
      <c r="J57" s="22"/>
      <c r="K57" s="22"/>
      <c r="L57" s="22"/>
      <c r="M57" s="53" t="s">
        <v>91</v>
      </c>
      <c r="N57" s="38" t="s">
        <v>523</v>
      </c>
      <c r="O57" s="38"/>
      <c r="P57" s="25"/>
      <c r="Q57" s="26"/>
      <c r="R57" s="32" t="s">
        <v>49</v>
      </c>
      <c r="S57" s="32" t="s">
        <v>41</v>
      </c>
      <c r="T57" s="119"/>
      <c r="U57" s="120"/>
      <c r="V57" s="120"/>
      <c r="W57" s="111"/>
      <c r="X57" s="111"/>
      <c r="Y57" s="30"/>
      <c r="Z57" s="30"/>
      <c r="AA57" s="30"/>
      <c r="AB57" s="41"/>
      <c r="AC57" s="32"/>
      <c r="AD57" s="32"/>
      <c r="AE57" s="32"/>
      <c r="AF57" s="32"/>
      <c r="AG57" s="32"/>
      <c r="AH57" s="32"/>
      <c r="AI57" s="32"/>
      <c r="AJ57" s="32"/>
      <c r="AK57" s="32"/>
      <c r="AL57" s="32"/>
      <c r="AM57" s="32"/>
      <c r="AN57" s="32"/>
      <c r="AO57" s="32"/>
      <c r="AP57" s="32"/>
      <c r="AQ57" s="32"/>
    </row>
    <row r="58" spans="1:43" ht="15.75" customHeight="1">
      <c r="A58" s="441" t="s">
        <v>3887</v>
      </c>
      <c r="B58" s="32" t="s">
        <v>43</v>
      </c>
      <c r="C58" s="247" t="s">
        <v>3790</v>
      </c>
      <c r="D58" s="231" t="s">
        <v>178</v>
      </c>
      <c r="E58" s="58" t="s">
        <v>179</v>
      </c>
      <c r="F58" s="16" t="s">
        <v>524</v>
      </c>
      <c r="G58" s="32" t="s">
        <v>180</v>
      </c>
      <c r="H58" s="48" t="s">
        <v>181</v>
      </c>
      <c r="I58" s="43" t="s">
        <v>525</v>
      </c>
      <c r="J58" s="22"/>
      <c r="K58" s="22"/>
      <c r="L58" s="22"/>
      <c r="M58" s="53" t="s">
        <v>183</v>
      </c>
      <c r="N58" s="38" t="s">
        <v>184</v>
      </c>
      <c r="O58" s="38"/>
      <c r="P58" s="25"/>
      <c r="Q58" s="26"/>
      <c r="R58" s="32" t="s">
        <v>185</v>
      </c>
      <c r="S58" s="32" t="s">
        <v>41</v>
      </c>
      <c r="T58" s="119"/>
      <c r="U58" s="120"/>
      <c r="V58" s="120"/>
      <c r="W58" s="111"/>
      <c r="X58" s="111"/>
      <c r="Y58" s="30" t="s">
        <v>526</v>
      </c>
      <c r="Z58" s="30"/>
      <c r="AA58" s="30"/>
      <c r="AB58" s="46" t="s">
        <v>527</v>
      </c>
      <c r="AC58" s="32"/>
      <c r="AD58" s="32"/>
      <c r="AE58" s="32"/>
      <c r="AF58" s="32"/>
      <c r="AG58" s="32"/>
      <c r="AH58" s="32"/>
      <c r="AI58" s="32"/>
      <c r="AJ58" s="32"/>
      <c r="AK58" s="32"/>
      <c r="AL58" s="32"/>
      <c r="AM58" s="32"/>
      <c r="AN58" s="32"/>
      <c r="AO58" s="32"/>
      <c r="AP58" s="32"/>
      <c r="AQ58" s="32"/>
    </row>
    <row r="59" spans="1:43" ht="15.75" customHeight="1">
      <c r="A59" s="441" t="s">
        <v>3888</v>
      </c>
      <c r="B59" s="32" t="s">
        <v>43</v>
      </c>
      <c r="C59" s="247" t="s">
        <v>3790</v>
      </c>
      <c r="D59" s="231" t="s">
        <v>178</v>
      </c>
      <c r="E59" s="58" t="s">
        <v>179</v>
      </c>
      <c r="F59" s="16" t="s">
        <v>528</v>
      </c>
      <c r="G59" s="32" t="s">
        <v>180</v>
      </c>
      <c r="H59" s="48" t="s">
        <v>529</v>
      </c>
      <c r="I59" s="43" t="s">
        <v>530</v>
      </c>
      <c r="J59" s="22"/>
      <c r="K59" s="22"/>
      <c r="L59" s="22"/>
      <c r="M59" s="53" t="s">
        <v>183</v>
      </c>
      <c r="N59" s="38" t="s">
        <v>184</v>
      </c>
      <c r="O59" s="38"/>
      <c r="P59" s="25"/>
      <c r="Q59" s="26"/>
      <c r="R59" s="32" t="s">
        <v>185</v>
      </c>
      <c r="S59" s="32" t="s">
        <v>41</v>
      </c>
      <c r="T59" s="119"/>
      <c r="U59" s="120"/>
      <c r="V59" s="120"/>
      <c r="W59" s="111"/>
      <c r="X59" s="111"/>
      <c r="Y59" s="30"/>
      <c r="Z59" s="30"/>
      <c r="AA59" s="30"/>
      <c r="AB59" s="41"/>
      <c r="AC59" s="32"/>
      <c r="AD59" s="32"/>
      <c r="AE59" s="32"/>
      <c r="AF59" s="32"/>
      <c r="AG59" s="32"/>
      <c r="AH59" s="32"/>
      <c r="AI59" s="32"/>
      <c r="AJ59" s="32"/>
      <c r="AK59" s="32"/>
      <c r="AL59" s="32"/>
      <c r="AM59" s="32"/>
      <c r="AN59" s="32"/>
      <c r="AO59" s="32"/>
      <c r="AP59" s="32"/>
      <c r="AQ59" s="32"/>
    </row>
    <row r="60" spans="1:43" ht="15.75" customHeight="1">
      <c r="A60" s="441" t="s">
        <v>3889</v>
      </c>
      <c r="B60" s="32" t="s">
        <v>43</v>
      </c>
      <c r="C60" s="246" t="s">
        <v>531</v>
      </c>
      <c r="D60" s="232"/>
      <c r="E60" s="58"/>
      <c r="F60" s="16" t="s">
        <v>532</v>
      </c>
      <c r="G60" s="32"/>
      <c r="H60" s="48" t="s">
        <v>1738</v>
      </c>
      <c r="I60" s="43" t="s">
        <v>533</v>
      </c>
      <c r="J60" s="22"/>
      <c r="K60" s="22"/>
      <c r="L60" s="22" t="s">
        <v>534</v>
      </c>
      <c r="M60" s="53" t="s">
        <v>535</v>
      </c>
      <c r="N60" s="89" t="s">
        <v>536</v>
      </c>
      <c r="O60" s="89"/>
      <c r="P60" s="90"/>
      <c r="Q60" s="91"/>
      <c r="R60" s="115" t="s">
        <v>537</v>
      </c>
      <c r="S60" s="32" t="s">
        <v>41</v>
      </c>
      <c r="T60" s="119" t="s">
        <v>538</v>
      </c>
      <c r="U60" s="120"/>
      <c r="V60" s="120"/>
      <c r="W60" s="111"/>
      <c r="X60" s="111"/>
      <c r="Y60" s="30" t="s">
        <v>4015</v>
      </c>
      <c r="Z60" s="30" t="s">
        <v>539</v>
      </c>
      <c r="AA60" s="30" t="s">
        <v>540</v>
      </c>
      <c r="AB60" s="41"/>
      <c r="AC60" s="32"/>
      <c r="AD60" s="32"/>
      <c r="AE60" s="32"/>
      <c r="AF60" s="32"/>
      <c r="AG60" s="32"/>
      <c r="AH60" s="32"/>
      <c r="AI60" s="32"/>
      <c r="AJ60" s="32"/>
      <c r="AK60" s="32"/>
      <c r="AL60" s="32"/>
      <c r="AM60" s="32"/>
      <c r="AN60" s="32"/>
      <c r="AO60" s="32"/>
      <c r="AP60" s="32"/>
      <c r="AQ60" s="32"/>
    </row>
    <row r="61" spans="1:43" ht="15.75" customHeight="1">
      <c r="A61" s="441" t="s">
        <v>3890</v>
      </c>
      <c r="B61" s="32" t="s">
        <v>43</v>
      </c>
      <c r="C61" s="247" t="s">
        <v>3792</v>
      </c>
      <c r="D61" s="232"/>
      <c r="E61" s="58"/>
      <c r="F61" s="47" t="s">
        <v>3791</v>
      </c>
      <c r="G61" s="32" t="s">
        <v>541</v>
      </c>
      <c r="H61" s="48" t="s">
        <v>542</v>
      </c>
      <c r="I61" s="43" t="s">
        <v>543</v>
      </c>
      <c r="J61" s="107" t="s">
        <v>544</v>
      </c>
      <c r="K61" s="107"/>
      <c r="L61" s="107"/>
      <c r="M61" s="36" t="s">
        <v>136</v>
      </c>
      <c r="N61" s="38" t="s">
        <v>545</v>
      </c>
      <c r="O61" s="38"/>
      <c r="P61" s="25"/>
      <c r="Q61" s="26"/>
      <c r="R61" s="43" t="s">
        <v>138</v>
      </c>
      <c r="S61" s="32" t="s">
        <v>41</v>
      </c>
      <c r="T61" s="119" t="s">
        <v>546</v>
      </c>
      <c r="U61" s="120"/>
      <c r="V61" s="120"/>
      <c r="W61" s="111"/>
      <c r="X61" s="111"/>
      <c r="Y61" s="30"/>
      <c r="Z61" s="30"/>
      <c r="AA61" s="30"/>
      <c r="AB61" s="41"/>
      <c r="AC61" s="32"/>
      <c r="AD61" s="21"/>
      <c r="AE61" s="32"/>
      <c r="AF61" s="32"/>
      <c r="AG61" s="32"/>
      <c r="AH61" s="32"/>
      <c r="AI61" s="32"/>
      <c r="AJ61" s="32"/>
      <c r="AK61" s="32"/>
      <c r="AL61" s="32"/>
      <c r="AM61" s="32"/>
      <c r="AN61" s="32"/>
      <c r="AO61" s="32"/>
      <c r="AP61" s="32"/>
      <c r="AQ61" s="32"/>
    </row>
    <row r="62" spans="1:43" ht="15.75" customHeight="1">
      <c r="A62" s="441" t="s">
        <v>3881</v>
      </c>
      <c r="B62" s="32" t="s">
        <v>43</v>
      </c>
      <c r="C62" s="246" t="s">
        <v>547</v>
      </c>
      <c r="D62" s="232"/>
      <c r="E62" s="58"/>
      <c r="F62" s="16" t="s">
        <v>548</v>
      </c>
      <c r="G62" s="32" t="s">
        <v>549</v>
      </c>
      <c r="H62" s="32" t="s">
        <v>550</v>
      </c>
      <c r="I62" s="43" t="s">
        <v>551</v>
      </c>
      <c r="J62" s="22"/>
      <c r="K62" s="22"/>
      <c r="L62" s="22"/>
      <c r="M62" s="32" t="s">
        <v>552</v>
      </c>
      <c r="N62" s="83" t="s">
        <v>553</v>
      </c>
      <c r="O62" s="83"/>
      <c r="P62" s="25"/>
      <c r="Q62" s="26"/>
      <c r="R62" s="132" t="s">
        <v>554</v>
      </c>
      <c r="S62" s="32" t="s">
        <v>41</v>
      </c>
      <c r="T62" s="119"/>
      <c r="U62" s="120"/>
      <c r="V62" s="120"/>
      <c r="W62" s="111"/>
      <c r="X62" s="111"/>
      <c r="Y62" s="30"/>
      <c r="Z62" s="30"/>
      <c r="AA62" s="30"/>
      <c r="AB62" s="41"/>
      <c r="AC62" s="32"/>
      <c r="AD62" s="21"/>
      <c r="AE62" s="32"/>
      <c r="AF62" s="32"/>
      <c r="AG62" s="32"/>
      <c r="AH62" s="32"/>
      <c r="AI62" s="32"/>
      <c r="AJ62" s="32"/>
      <c r="AK62" s="32"/>
      <c r="AL62" s="32"/>
      <c r="AM62" s="32"/>
      <c r="AN62" s="32"/>
      <c r="AO62" s="32"/>
      <c r="AP62" s="32"/>
      <c r="AQ62" s="32"/>
    </row>
    <row r="63" spans="1:43" ht="15.75" customHeight="1">
      <c r="A63" s="441" t="s">
        <v>555</v>
      </c>
      <c r="B63" s="32" t="s">
        <v>556</v>
      </c>
      <c r="C63" s="247" t="s">
        <v>3794</v>
      </c>
      <c r="D63" s="231" t="s">
        <v>557</v>
      </c>
      <c r="E63" s="58" t="s">
        <v>3793</v>
      </c>
      <c r="F63" s="265" t="s">
        <v>558</v>
      </c>
      <c r="G63" s="32" t="s">
        <v>559</v>
      </c>
      <c r="H63" s="32" t="s">
        <v>560</v>
      </c>
      <c r="I63" s="43" t="s">
        <v>427</v>
      </c>
      <c r="J63" s="82"/>
      <c r="K63" s="82"/>
      <c r="L63" s="22"/>
      <c r="M63" s="53" t="s">
        <v>91</v>
      </c>
      <c r="N63" s="54" t="s">
        <v>561</v>
      </c>
      <c r="O63" s="54"/>
      <c r="P63" s="55"/>
      <c r="Q63" s="56"/>
      <c r="R63" s="32" t="s">
        <v>49</v>
      </c>
      <c r="S63" s="32" t="s">
        <v>41</v>
      </c>
      <c r="T63" s="119" t="s">
        <v>562</v>
      </c>
      <c r="U63" s="120"/>
      <c r="V63" s="120"/>
      <c r="W63" s="111"/>
      <c r="X63" s="111"/>
      <c r="Y63" s="30"/>
      <c r="Z63" s="30"/>
      <c r="AA63" s="30"/>
      <c r="AB63" s="41"/>
      <c r="AC63" s="32"/>
      <c r="AD63" s="32"/>
      <c r="AE63" s="32"/>
      <c r="AF63" s="32"/>
      <c r="AG63" s="32"/>
      <c r="AH63" s="32"/>
      <c r="AI63" s="32"/>
      <c r="AJ63" s="32"/>
      <c r="AK63" s="32"/>
      <c r="AL63" s="32"/>
      <c r="AM63" s="32"/>
      <c r="AN63" s="32"/>
      <c r="AO63" s="32"/>
      <c r="AP63" s="32"/>
      <c r="AQ63" s="32"/>
    </row>
    <row r="64" spans="1:43" ht="15.75" customHeight="1">
      <c r="A64" s="441" t="s">
        <v>3880</v>
      </c>
      <c r="B64" s="32" t="s">
        <v>43</v>
      </c>
      <c r="C64" s="247" t="s">
        <v>3795</v>
      </c>
      <c r="D64" s="232"/>
      <c r="E64" s="58"/>
      <c r="F64" s="16" t="s">
        <v>563</v>
      </c>
      <c r="G64" s="32" t="s">
        <v>564</v>
      </c>
      <c r="H64" s="32" t="s">
        <v>565</v>
      </c>
      <c r="I64" s="43" t="s">
        <v>566</v>
      </c>
      <c r="J64" s="35"/>
      <c r="K64" s="22"/>
      <c r="L64" s="22" t="s">
        <v>567</v>
      </c>
      <c r="M64" s="48" t="s">
        <v>568</v>
      </c>
      <c r="N64" s="83" t="s">
        <v>569</v>
      </c>
      <c r="O64" s="399"/>
      <c r="P64" s="124"/>
      <c r="Q64" s="133"/>
      <c r="R64" s="115" t="s">
        <v>382</v>
      </c>
      <c r="S64" s="21" t="s">
        <v>383</v>
      </c>
      <c r="T64" s="119" t="s">
        <v>570</v>
      </c>
      <c r="U64" s="120"/>
      <c r="V64" s="120"/>
      <c r="W64" s="111"/>
      <c r="X64" s="111"/>
      <c r="Y64" s="30"/>
      <c r="Z64" s="30"/>
      <c r="AA64" s="30"/>
      <c r="AB64" s="41"/>
      <c r="AC64" s="32" t="s">
        <v>571</v>
      </c>
      <c r="AD64" s="32"/>
      <c r="AE64" s="32"/>
      <c r="AF64" s="32"/>
      <c r="AG64" s="32"/>
      <c r="AH64" s="32"/>
      <c r="AI64" s="32"/>
      <c r="AJ64" s="32"/>
      <c r="AK64" s="32"/>
      <c r="AL64" s="32"/>
      <c r="AM64" s="32"/>
      <c r="AN64" s="32"/>
      <c r="AO64" s="32"/>
      <c r="AP64" s="32"/>
      <c r="AQ64" s="32"/>
    </row>
    <row r="65" spans="1:43" ht="15.75" customHeight="1">
      <c r="A65" s="441" t="s">
        <v>3879</v>
      </c>
      <c r="B65" s="32" t="s">
        <v>43</v>
      </c>
      <c r="C65" s="247" t="s">
        <v>3796</v>
      </c>
      <c r="D65" s="232"/>
      <c r="E65" s="58"/>
      <c r="F65" s="16" t="s">
        <v>572</v>
      </c>
      <c r="G65" s="32"/>
      <c r="H65" s="32" t="s">
        <v>573</v>
      </c>
      <c r="I65" s="43" t="s">
        <v>574</v>
      </c>
      <c r="J65" s="22"/>
      <c r="K65" s="22"/>
      <c r="L65" s="22" t="s">
        <v>575</v>
      </c>
      <c r="M65" s="95" t="s">
        <v>576</v>
      </c>
      <c r="N65" s="54" t="s">
        <v>577</v>
      </c>
      <c r="O65" s="54"/>
      <c r="P65" s="74" t="s">
        <v>578</v>
      </c>
      <c r="Q65" s="75" t="s">
        <v>579</v>
      </c>
      <c r="R65" s="101" t="s">
        <v>40</v>
      </c>
      <c r="S65" s="21" t="s">
        <v>41</v>
      </c>
      <c r="T65" s="119" t="s">
        <v>580</v>
      </c>
      <c r="U65" s="120"/>
      <c r="V65" s="120"/>
      <c r="W65" s="111"/>
      <c r="X65" s="111"/>
      <c r="Y65" s="30"/>
      <c r="Z65" s="30"/>
      <c r="AA65" s="30"/>
      <c r="AB65" s="41"/>
      <c r="AC65" s="32"/>
      <c r="AD65" s="32"/>
      <c r="AE65" s="32"/>
      <c r="AF65" s="32"/>
      <c r="AG65" s="32"/>
      <c r="AH65" s="32"/>
      <c r="AI65" s="32"/>
      <c r="AJ65" s="32"/>
      <c r="AK65" s="32"/>
      <c r="AL65" s="32"/>
      <c r="AM65" s="32"/>
      <c r="AN65" s="32"/>
      <c r="AO65" s="32"/>
      <c r="AP65" s="32"/>
      <c r="AQ65" s="32"/>
    </row>
    <row r="66" spans="1:43" ht="15.75" customHeight="1">
      <c r="A66" s="441" t="s">
        <v>3878</v>
      </c>
      <c r="B66" s="32" t="s">
        <v>43</v>
      </c>
      <c r="C66" s="246" t="s">
        <v>557</v>
      </c>
      <c r="D66" s="231" t="s">
        <v>581</v>
      </c>
      <c r="E66" s="58" t="s">
        <v>582</v>
      </c>
      <c r="F66" s="16" t="s">
        <v>572</v>
      </c>
      <c r="G66" s="39" t="s">
        <v>583</v>
      </c>
      <c r="H66" s="40" t="s">
        <v>584</v>
      </c>
      <c r="I66" s="43" t="s">
        <v>118</v>
      </c>
      <c r="J66" s="22"/>
      <c r="K66" s="22"/>
      <c r="L66" s="22"/>
      <c r="M66" s="53" t="s">
        <v>91</v>
      </c>
      <c r="N66" s="54" t="s">
        <v>585</v>
      </c>
      <c r="O66" s="54"/>
      <c r="P66" s="55"/>
      <c r="Q66" s="56"/>
      <c r="R66" s="32" t="s">
        <v>49</v>
      </c>
      <c r="S66" s="32" t="s">
        <v>41</v>
      </c>
      <c r="T66" s="119" t="s">
        <v>586</v>
      </c>
      <c r="U66" s="120"/>
      <c r="V66" s="120"/>
      <c r="W66" s="128"/>
      <c r="X66" s="128"/>
      <c r="Y66" s="30"/>
      <c r="Z66" s="30"/>
      <c r="AA66" s="30"/>
      <c r="AB66" s="41"/>
      <c r="AC66" s="32"/>
      <c r="AD66" s="32"/>
      <c r="AE66" s="32"/>
      <c r="AF66" s="32"/>
      <c r="AG66" s="32"/>
      <c r="AH66" s="32"/>
      <c r="AI66" s="32"/>
      <c r="AJ66" s="32"/>
      <c r="AK66" s="32"/>
      <c r="AL66" s="32"/>
      <c r="AM66" s="32"/>
      <c r="AN66" s="32"/>
      <c r="AO66" s="32"/>
      <c r="AP66" s="32"/>
      <c r="AQ66" s="32"/>
    </row>
    <row r="67" spans="1:43" ht="15.75" customHeight="1">
      <c r="A67" s="441" t="s">
        <v>587</v>
      </c>
      <c r="B67" s="32" t="s">
        <v>43</v>
      </c>
      <c r="C67" s="246" t="s">
        <v>170</v>
      </c>
      <c r="D67" s="231" t="s">
        <v>588</v>
      </c>
      <c r="E67" s="32"/>
      <c r="F67" s="16" t="s">
        <v>589</v>
      </c>
      <c r="G67" s="32"/>
      <c r="H67" s="48" t="s">
        <v>590</v>
      </c>
      <c r="I67" s="43" t="s">
        <v>591</v>
      </c>
      <c r="J67" s="445" t="s">
        <v>592</v>
      </c>
      <c r="K67" s="445"/>
      <c r="L67" s="445"/>
      <c r="M67" s="43" t="s">
        <v>593</v>
      </c>
      <c r="N67" s="54" t="s">
        <v>594</v>
      </c>
      <c r="O67" s="446"/>
      <c r="P67" s="447" t="s">
        <v>38</v>
      </c>
      <c r="Q67" s="447" t="s">
        <v>595</v>
      </c>
      <c r="R67" s="99" t="s">
        <v>596</v>
      </c>
      <c r="S67" s="32" t="s">
        <v>383</v>
      </c>
      <c r="T67" s="48" t="s">
        <v>597</v>
      </c>
      <c r="U67" s="48"/>
      <c r="V67" s="48"/>
      <c r="W67" s="448" t="s">
        <v>189</v>
      </c>
      <c r="X67" s="448" t="s">
        <v>190</v>
      </c>
      <c r="Y67" s="66" t="s">
        <v>598</v>
      </c>
      <c r="Z67" s="32"/>
      <c r="AA67" s="32"/>
      <c r="AB67" s="32"/>
      <c r="AC67" s="32" t="s">
        <v>599</v>
      </c>
      <c r="AD67" s="32"/>
      <c r="AE67" s="32"/>
      <c r="AF67" s="32"/>
      <c r="AG67" s="32"/>
      <c r="AH67" s="32"/>
      <c r="AI67" s="32"/>
      <c r="AJ67" s="32"/>
      <c r="AK67" s="32"/>
      <c r="AL67" s="32"/>
      <c r="AM67" s="32"/>
      <c r="AN67" s="32"/>
      <c r="AO67" s="32"/>
      <c r="AP67" s="32"/>
      <c r="AQ67" s="32"/>
    </row>
    <row r="68" spans="1:43" ht="15.75" customHeight="1">
      <c r="A68" s="441" t="s">
        <v>600</v>
      </c>
      <c r="B68" s="32" t="s">
        <v>43</v>
      </c>
      <c r="C68" s="261" t="s">
        <v>170</v>
      </c>
      <c r="D68" s="232"/>
      <c r="E68" s="32"/>
      <c r="F68" s="16" t="s">
        <v>601</v>
      </c>
      <c r="G68" s="99"/>
      <c r="H68" s="32" t="s">
        <v>602</v>
      </c>
      <c r="I68" s="43" t="s">
        <v>603</v>
      </c>
      <c r="J68" s="445"/>
      <c r="K68" s="445"/>
      <c r="L68" s="445"/>
      <c r="M68" s="43" t="s">
        <v>604</v>
      </c>
      <c r="N68" s="38" t="s">
        <v>605</v>
      </c>
      <c r="O68" s="294"/>
      <c r="P68" s="449"/>
      <c r="Q68" s="38"/>
      <c r="R68" s="32" t="s">
        <v>49</v>
      </c>
      <c r="S68" s="32" t="s">
        <v>383</v>
      </c>
      <c r="T68" s="48" t="s">
        <v>606</v>
      </c>
      <c r="U68" s="48"/>
      <c r="V68" s="48"/>
      <c r="W68" s="48" t="s">
        <v>398</v>
      </c>
      <c r="X68" s="48" t="s">
        <v>477</v>
      </c>
      <c r="Y68" s="293" t="s">
        <v>607</v>
      </c>
      <c r="Z68" s="32"/>
      <c r="AA68" s="32"/>
      <c r="AB68" s="450" t="s">
        <v>608</v>
      </c>
      <c r="AC68" s="32" t="s">
        <v>609</v>
      </c>
      <c r="AD68" s="32"/>
      <c r="AE68" s="32"/>
      <c r="AF68" s="32"/>
      <c r="AG68" s="32"/>
      <c r="AH68" s="32"/>
      <c r="AI68" s="32"/>
      <c r="AJ68" s="32"/>
      <c r="AK68" s="32"/>
      <c r="AL68" s="32"/>
      <c r="AM68" s="32"/>
      <c r="AN68" s="32"/>
      <c r="AO68" s="32"/>
      <c r="AP68" s="32"/>
      <c r="AQ68" s="32"/>
    </row>
    <row r="69" spans="1:43" ht="15.75" customHeight="1">
      <c r="A69" s="441" t="s">
        <v>3877</v>
      </c>
      <c r="B69" s="32" t="s">
        <v>43</v>
      </c>
      <c r="C69" s="261" t="s">
        <v>142</v>
      </c>
      <c r="D69" s="231"/>
      <c r="E69" s="32"/>
      <c r="F69" s="16" t="s">
        <v>610</v>
      </c>
      <c r="G69" s="32" t="s">
        <v>611</v>
      </c>
      <c r="H69" s="95" t="s">
        <v>612</v>
      </c>
      <c r="I69" s="43" t="s">
        <v>613</v>
      </c>
      <c r="J69" s="451" t="s">
        <v>614</v>
      </c>
      <c r="K69" s="451" t="s">
        <v>62</v>
      </c>
      <c r="L69" s="445"/>
      <c r="M69" s="43" t="s">
        <v>615</v>
      </c>
      <c r="N69" s="73" t="s">
        <v>616</v>
      </c>
      <c r="O69" s="73" t="s">
        <v>38</v>
      </c>
      <c r="P69" s="73"/>
      <c r="Q69" s="73" t="s">
        <v>39</v>
      </c>
      <c r="R69" s="32" t="s">
        <v>517</v>
      </c>
      <c r="S69" s="32" t="s">
        <v>383</v>
      </c>
      <c r="T69" s="48" t="s">
        <v>617</v>
      </c>
      <c r="U69" s="48"/>
      <c r="V69" s="48"/>
      <c r="W69" s="48" t="s">
        <v>398</v>
      </c>
      <c r="X69" s="48" t="s">
        <v>477</v>
      </c>
      <c r="Y69" s="32" t="s">
        <v>618</v>
      </c>
      <c r="Z69" s="32"/>
      <c r="AA69" s="32"/>
      <c r="AB69" s="450" t="s">
        <v>619</v>
      </c>
      <c r="AC69" s="47" t="s">
        <v>620</v>
      </c>
      <c r="AD69" s="32"/>
      <c r="AE69" s="32"/>
      <c r="AF69" s="32"/>
      <c r="AG69" s="32"/>
      <c r="AH69" s="32"/>
      <c r="AI69" s="32"/>
      <c r="AJ69" s="32"/>
      <c r="AK69" s="32"/>
      <c r="AL69" s="32"/>
      <c r="AM69" s="32"/>
      <c r="AN69" s="32"/>
      <c r="AO69" s="32"/>
      <c r="AP69" s="32"/>
      <c r="AQ69" s="32"/>
    </row>
    <row r="70" spans="1:43" ht="15.75" customHeight="1">
      <c r="A70" s="441" t="s">
        <v>3876</v>
      </c>
      <c r="B70" s="32" t="s">
        <v>43</v>
      </c>
      <c r="C70" s="363" t="s">
        <v>621</v>
      </c>
      <c r="D70" s="232"/>
      <c r="E70" s="58"/>
      <c r="F70" s="16" t="s">
        <v>622</v>
      </c>
      <c r="G70" s="32"/>
      <c r="H70" s="48" t="s">
        <v>623</v>
      </c>
      <c r="I70" s="43" t="s">
        <v>624</v>
      </c>
      <c r="J70" s="98"/>
      <c r="K70" s="82"/>
      <c r="L70" s="22" t="s">
        <v>495</v>
      </c>
      <c r="M70" s="53" t="s">
        <v>625</v>
      </c>
      <c r="N70" s="134" t="s">
        <v>626</v>
      </c>
      <c r="O70" s="54"/>
      <c r="P70" s="55"/>
      <c r="Q70" s="56"/>
      <c r="R70" s="113" t="s">
        <v>370</v>
      </c>
      <c r="S70" s="32" t="s">
        <v>41</v>
      </c>
      <c r="T70" s="119" t="s">
        <v>627</v>
      </c>
      <c r="U70" s="120"/>
      <c r="V70" s="120"/>
      <c r="W70" s="111"/>
      <c r="X70" s="111"/>
      <c r="Y70" s="30"/>
      <c r="Z70" s="30"/>
      <c r="AA70" s="30"/>
      <c r="AB70" s="41"/>
      <c r="AC70" s="32"/>
      <c r="AD70" s="32"/>
      <c r="AE70" s="32"/>
      <c r="AF70" s="32"/>
      <c r="AG70" s="32"/>
      <c r="AH70" s="32"/>
      <c r="AI70" s="32"/>
      <c r="AJ70" s="32"/>
      <c r="AK70" s="32"/>
      <c r="AL70" s="32"/>
      <c r="AM70" s="32"/>
      <c r="AN70" s="32"/>
      <c r="AO70" s="32"/>
      <c r="AP70" s="32"/>
      <c r="AQ70" s="32"/>
    </row>
    <row r="71" spans="1:43" ht="15.75" customHeight="1">
      <c r="A71" s="441" t="s">
        <v>3875</v>
      </c>
      <c r="B71" s="32" t="s">
        <v>43</v>
      </c>
      <c r="C71" s="247" t="s">
        <v>3797</v>
      </c>
      <c r="D71" s="232"/>
      <c r="E71" s="58"/>
      <c r="F71" s="16" t="s">
        <v>628</v>
      </c>
      <c r="G71" s="32"/>
      <c r="H71" s="32" t="s">
        <v>629</v>
      </c>
      <c r="I71" s="43" t="s">
        <v>630</v>
      </c>
      <c r="J71" s="35"/>
      <c r="K71" s="22"/>
      <c r="L71" s="22" t="s">
        <v>631</v>
      </c>
      <c r="M71" s="36" t="s">
        <v>632</v>
      </c>
      <c r="N71" s="38" t="s">
        <v>633</v>
      </c>
      <c r="O71" s="38"/>
      <c r="P71" s="25"/>
      <c r="Q71" s="26"/>
      <c r="R71" s="306" t="s">
        <v>634</v>
      </c>
      <c r="S71" s="32" t="s">
        <v>41</v>
      </c>
      <c r="T71" s="119" t="s">
        <v>635</v>
      </c>
      <c r="U71" s="120"/>
      <c r="V71" s="120"/>
      <c r="W71" s="111"/>
      <c r="X71" s="111"/>
      <c r="Y71" s="30"/>
      <c r="Z71" s="30"/>
      <c r="AA71" s="30"/>
      <c r="AB71" s="41"/>
      <c r="AC71" s="32"/>
      <c r="AD71" s="32"/>
      <c r="AE71" s="32"/>
      <c r="AF71" s="32"/>
      <c r="AG71" s="32"/>
      <c r="AH71" s="32"/>
      <c r="AI71" s="32"/>
      <c r="AJ71" s="32"/>
      <c r="AK71" s="32"/>
      <c r="AL71" s="32"/>
      <c r="AM71" s="32"/>
      <c r="AN71" s="32"/>
      <c r="AO71" s="32"/>
      <c r="AP71" s="32"/>
      <c r="AQ71" s="32"/>
    </row>
    <row r="72" spans="1:43" ht="15.75" customHeight="1">
      <c r="A72" s="441" t="s">
        <v>3874</v>
      </c>
      <c r="B72" s="32" t="s">
        <v>636</v>
      </c>
      <c r="C72" s="253" t="s">
        <v>637</v>
      </c>
      <c r="D72" s="232"/>
      <c r="E72" s="58"/>
      <c r="F72" s="16" t="s">
        <v>638</v>
      </c>
      <c r="G72" s="32" t="s">
        <v>639</v>
      </c>
      <c r="H72" s="40" t="s">
        <v>640</v>
      </c>
      <c r="I72" s="43" t="s">
        <v>118</v>
      </c>
      <c r="J72" s="22"/>
      <c r="K72" s="22"/>
      <c r="L72" s="22"/>
      <c r="M72" s="53" t="s">
        <v>91</v>
      </c>
      <c r="N72" s="54" t="s">
        <v>641</v>
      </c>
      <c r="O72" s="54"/>
      <c r="P72" s="55"/>
      <c r="Q72" s="56"/>
      <c r="R72" s="32" t="s">
        <v>642</v>
      </c>
      <c r="S72" s="32" t="s">
        <v>41</v>
      </c>
      <c r="T72" s="21" t="s">
        <v>643</v>
      </c>
      <c r="U72" s="28"/>
      <c r="V72" s="28"/>
      <c r="W72" s="29"/>
      <c r="X72" s="29"/>
      <c r="Y72" s="30"/>
      <c r="Z72" s="30"/>
      <c r="AA72" s="30"/>
      <c r="AB72" s="41"/>
      <c r="AC72" s="32"/>
      <c r="AD72" s="32"/>
      <c r="AE72" s="32"/>
      <c r="AF72" s="32"/>
      <c r="AG72" s="32"/>
      <c r="AH72" s="32"/>
      <c r="AI72" s="32"/>
      <c r="AJ72" s="32"/>
      <c r="AK72" s="32"/>
      <c r="AL72" s="32"/>
      <c r="AM72" s="32"/>
      <c r="AN72" s="32"/>
      <c r="AO72" s="32"/>
      <c r="AP72" s="32"/>
      <c r="AQ72" s="32"/>
    </row>
    <row r="73" spans="1:43" ht="15.75" customHeight="1">
      <c r="A73" s="441" t="s">
        <v>644</v>
      </c>
      <c r="B73" s="32" t="s">
        <v>43</v>
      </c>
      <c r="C73" s="321" t="s">
        <v>142</v>
      </c>
      <c r="D73" s="232"/>
      <c r="E73" s="58"/>
      <c r="F73" s="47" t="s">
        <v>645</v>
      </c>
      <c r="G73" s="32"/>
      <c r="H73" s="48" t="s">
        <v>646</v>
      </c>
      <c r="I73" s="43" t="s">
        <v>647</v>
      </c>
      <c r="J73" s="22"/>
      <c r="K73" s="22"/>
      <c r="L73" s="22" t="s">
        <v>648</v>
      </c>
      <c r="M73" s="135" t="s">
        <v>649</v>
      </c>
      <c r="N73" s="54" t="s">
        <v>650</v>
      </c>
      <c r="O73" s="54" t="s">
        <v>651</v>
      </c>
      <c r="P73" s="55"/>
      <c r="Q73" s="56" t="s">
        <v>652</v>
      </c>
      <c r="R73" s="32" t="s">
        <v>517</v>
      </c>
      <c r="S73" s="32" t="s">
        <v>383</v>
      </c>
      <c r="T73" s="21" t="s">
        <v>653</v>
      </c>
      <c r="U73" s="28"/>
      <c r="V73" s="28"/>
      <c r="W73" s="29"/>
      <c r="X73" s="29"/>
      <c r="Y73" s="30"/>
      <c r="Z73" s="30" t="s">
        <v>654</v>
      </c>
      <c r="AA73" s="30" t="s">
        <v>655</v>
      </c>
      <c r="AB73" s="41"/>
      <c r="AC73" s="32"/>
      <c r="AD73" s="32"/>
      <c r="AE73" s="32"/>
      <c r="AF73" s="32"/>
      <c r="AG73" s="32"/>
      <c r="AH73" s="32"/>
      <c r="AI73" s="32"/>
      <c r="AJ73" s="32"/>
      <c r="AK73" s="32"/>
      <c r="AL73" s="32"/>
      <c r="AM73" s="32"/>
      <c r="AN73" s="32"/>
      <c r="AO73" s="32"/>
      <c r="AP73" s="32"/>
      <c r="AQ73" s="32"/>
    </row>
    <row r="74" spans="1:43" ht="15.75" customHeight="1">
      <c r="A74" s="441" t="s">
        <v>3873</v>
      </c>
      <c r="B74" s="39" t="s">
        <v>43</v>
      </c>
      <c r="C74" s="246" t="s">
        <v>656</v>
      </c>
      <c r="D74" s="232"/>
      <c r="E74" s="58"/>
      <c r="F74" s="16" t="s">
        <v>657</v>
      </c>
      <c r="G74" s="32" t="s">
        <v>658</v>
      </c>
      <c r="H74" s="32" t="s">
        <v>659</v>
      </c>
      <c r="I74" s="43" t="s">
        <v>660</v>
      </c>
      <c r="J74" s="22"/>
      <c r="K74" s="22"/>
      <c r="L74" s="22"/>
      <c r="M74" s="36" t="s">
        <v>661</v>
      </c>
      <c r="N74" s="54" t="s">
        <v>662</v>
      </c>
      <c r="O74" s="394"/>
      <c r="P74" s="112"/>
      <c r="Q74" s="121"/>
      <c r="R74" s="39" t="s">
        <v>642</v>
      </c>
      <c r="S74" s="32" t="s">
        <v>41</v>
      </c>
      <c r="T74" s="21" t="s">
        <v>663</v>
      </c>
      <c r="U74" s="28"/>
      <c r="V74" s="28"/>
      <c r="W74" s="29"/>
      <c r="X74" s="72"/>
      <c r="Y74" s="30"/>
      <c r="Z74" s="30"/>
      <c r="AA74" s="30"/>
      <c r="AB74" s="41"/>
      <c r="AC74" s="32"/>
      <c r="AD74" s="32"/>
      <c r="AE74" s="32"/>
      <c r="AF74" s="32"/>
      <c r="AG74" s="32"/>
      <c r="AH74" s="32"/>
      <c r="AI74" s="32"/>
      <c r="AJ74" s="32"/>
      <c r="AK74" s="32"/>
      <c r="AL74" s="32"/>
      <c r="AM74" s="32"/>
      <c r="AN74" s="32"/>
      <c r="AO74" s="32"/>
      <c r="AP74" s="32"/>
      <c r="AQ74" s="32"/>
    </row>
    <row r="75" spans="1:43" ht="15.75" customHeight="1">
      <c r="A75" s="441" t="s">
        <v>664</v>
      </c>
      <c r="B75" s="32" t="s">
        <v>43</v>
      </c>
      <c r="C75" s="247" t="s">
        <v>3798</v>
      </c>
      <c r="D75" s="308"/>
      <c r="E75" s="58"/>
      <c r="F75" s="16" t="s">
        <v>665</v>
      </c>
      <c r="G75" s="32" t="s">
        <v>666</v>
      </c>
      <c r="H75" s="40" t="s">
        <v>667</v>
      </c>
      <c r="I75" s="43" t="s">
        <v>118</v>
      </c>
      <c r="J75" s="22"/>
      <c r="K75" s="22"/>
      <c r="L75" s="22"/>
      <c r="M75" s="53" t="s">
        <v>91</v>
      </c>
      <c r="N75" s="54" t="s">
        <v>668</v>
      </c>
      <c r="O75" s="54"/>
      <c r="P75" s="55"/>
      <c r="Q75" s="56"/>
      <c r="R75" s="39" t="s">
        <v>49</v>
      </c>
      <c r="S75" s="32" t="s">
        <v>41</v>
      </c>
      <c r="T75" s="21"/>
      <c r="U75" s="28"/>
      <c r="V75" s="28"/>
      <c r="W75" s="29"/>
      <c r="X75" s="29"/>
      <c r="Y75" s="30"/>
      <c r="Z75" s="30"/>
      <c r="AA75" s="30"/>
      <c r="AB75" s="41"/>
      <c r="AC75" s="32"/>
      <c r="AD75" s="32"/>
      <c r="AE75" s="32"/>
      <c r="AF75" s="32"/>
      <c r="AG75" s="32"/>
      <c r="AH75" s="32"/>
      <c r="AI75" s="32"/>
      <c r="AJ75" s="32"/>
      <c r="AK75" s="32"/>
      <c r="AL75" s="32"/>
      <c r="AM75" s="32"/>
      <c r="AN75" s="32"/>
      <c r="AO75" s="32"/>
      <c r="AP75" s="32"/>
      <c r="AQ75" s="32"/>
    </row>
    <row r="76" spans="1:43" ht="15.75" customHeight="1">
      <c r="A76" s="441" t="s">
        <v>669</v>
      </c>
      <c r="B76" s="32" t="s">
        <v>670</v>
      </c>
      <c r="C76" s="246" t="s">
        <v>671</v>
      </c>
      <c r="D76" s="232"/>
      <c r="E76" s="58"/>
      <c r="F76" s="16" t="s">
        <v>672</v>
      </c>
      <c r="G76" s="32"/>
      <c r="H76" s="33" t="s">
        <v>673</v>
      </c>
      <c r="I76" s="43" t="s">
        <v>674</v>
      </c>
      <c r="J76" s="22"/>
      <c r="K76" s="22"/>
      <c r="L76" s="22"/>
      <c r="M76" s="43" t="s">
        <v>675</v>
      </c>
      <c r="N76" s="89" t="s">
        <v>676</v>
      </c>
      <c r="O76" s="89"/>
      <c r="P76" s="74" t="s">
        <v>677</v>
      </c>
      <c r="Q76" s="75" t="s">
        <v>678</v>
      </c>
      <c r="R76" s="305" t="s">
        <v>40</v>
      </c>
      <c r="S76" s="32" t="s">
        <v>383</v>
      </c>
      <c r="T76" s="21"/>
      <c r="U76" s="28"/>
      <c r="V76" s="28"/>
      <c r="W76" s="29"/>
      <c r="X76" s="29"/>
      <c r="Y76" s="30"/>
      <c r="Z76" s="30"/>
      <c r="AA76" s="30"/>
      <c r="AB76" s="41"/>
      <c r="AC76" s="32"/>
      <c r="AD76" s="32"/>
      <c r="AE76" s="32"/>
      <c r="AF76" s="32"/>
      <c r="AG76" s="32"/>
      <c r="AH76" s="32"/>
      <c r="AI76" s="32"/>
      <c r="AJ76" s="32"/>
      <c r="AK76" s="32"/>
      <c r="AL76" s="32"/>
      <c r="AM76" s="32"/>
      <c r="AN76" s="32"/>
      <c r="AO76" s="32"/>
      <c r="AP76" s="32"/>
      <c r="AQ76" s="32"/>
    </row>
    <row r="77" spans="1:43" ht="15.75" customHeight="1">
      <c r="A77" s="444" t="s">
        <v>679</v>
      </c>
      <c r="B77" s="286" t="s">
        <v>43</v>
      </c>
      <c r="C77" s="321" t="s">
        <v>142</v>
      </c>
      <c r="D77" s="272"/>
      <c r="E77" s="273"/>
      <c r="F77" s="312" t="s">
        <v>680</v>
      </c>
      <c r="G77" s="286"/>
      <c r="H77" s="286" t="s">
        <v>681</v>
      </c>
      <c r="I77" s="322" t="s">
        <v>682</v>
      </c>
      <c r="J77" s="314" t="s">
        <v>683</v>
      </c>
      <c r="K77" s="314"/>
      <c r="L77" s="314" t="s">
        <v>684</v>
      </c>
      <c r="M77" s="322" t="s">
        <v>685</v>
      </c>
      <c r="N77" s="323" t="s">
        <v>686</v>
      </c>
      <c r="O77" s="323" t="s">
        <v>687</v>
      </c>
      <c r="P77" s="324"/>
      <c r="Q77" s="325" t="s">
        <v>688</v>
      </c>
      <c r="R77" s="404" t="s">
        <v>517</v>
      </c>
      <c r="S77" s="286" t="s">
        <v>41</v>
      </c>
      <c r="T77" s="287" t="s">
        <v>689</v>
      </c>
      <c r="U77" s="319"/>
      <c r="V77" s="319"/>
      <c r="W77" s="320"/>
      <c r="X77" s="320"/>
      <c r="Y77" s="284"/>
      <c r="Z77" s="284"/>
      <c r="AA77" s="284"/>
      <c r="AB77" s="285"/>
      <c r="AC77" s="286"/>
      <c r="AD77" s="286"/>
      <c r="AE77" s="32"/>
      <c r="AF77" s="32"/>
      <c r="AG77" s="32"/>
      <c r="AH77" s="32"/>
      <c r="AI77" s="32"/>
      <c r="AJ77" s="32"/>
      <c r="AK77" s="32"/>
      <c r="AL77" s="32"/>
      <c r="AM77" s="32"/>
      <c r="AN77" s="32"/>
      <c r="AO77" s="32"/>
      <c r="AP77" s="32"/>
      <c r="AQ77" s="32"/>
    </row>
    <row r="78" spans="1:43" ht="15.75" customHeight="1">
      <c r="A78" s="441" t="s">
        <v>690</v>
      </c>
      <c r="B78" s="14" t="s">
        <v>43</v>
      </c>
      <c r="C78" s="252" t="s">
        <v>170</v>
      </c>
      <c r="D78" s="308"/>
      <c r="E78" s="136"/>
      <c r="F78" s="16" t="s">
        <v>691</v>
      </c>
      <c r="G78" s="32" t="s">
        <v>692</v>
      </c>
      <c r="H78" s="40" t="s">
        <v>693</v>
      </c>
      <c r="I78" s="43" t="s">
        <v>118</v>
      </c>
      <c r="J78" s="22"/>
      <c r="K78" s="22"/>
      <c r="L78" s="22"/>
      <c r="M78" s="53" t="s">
        <v>91</v>
      </c>
      <c r="N78" s="54" t="s">
        <v>694</v>
      </c>
      <c r="O78" s="54"/>
      <c r="P78" s="55"/>
      <c r="Q78" s="56"/>
      <c r="R78" s="39" t="s">
        <v>49</v>
      </c>
      <c r="S78" s="32" t="s">
        <v>41</v>
      </c>
      <c r="T78" s="21" t="s">
        <v>695</v>
      </c>
      <c r="U78" s="28"/>
      <c r="V78" s="28"/>
      <c r="W78" s="29"/>
      <c r="X78" s="29"/>
      <c r="Y78" s="30"/>
      <c r="Z78" s="30"/>
      <c r="AA78" s="30"/>
      <c r="AB78" s="41"/>
      <c r="AC78" s="32"/>
      <c r="AD78" s="32"/>
      <c r="AE78" s="32"/>
      <c r="AF78" s="32"/>
      <c r="AG78" s="32"/>
      <c r="AH78" s="32"/>
      <c r="AI78" s="32"/>
      <c r="AJ78" s="32"/>
      <c r="AK78" s="32"/>
      <c r="AL78" s="32"/>
      <c r="AM78" s="32"/>
      <c r="AN78" s="32"/>
      <c r="AO78" s="32"/>
      <c r="AP78" s="32"/>
      <c r="AQ78" s="32"/>
    </row>
    <row r="79" spans="1:43" ht="15.75" customHeight="1">
      <c r="A79" s="441" t="s">
        <v>696</v>
      </c>
      <c r="B79" s="32" t="s">
        <v>466</v>
      </c>
      <c r="C79" s="247" t="s">
        <v>170</v>
      </c>
      <c r="D79" s="232"/>
      <c r="E79" s="58"/>
      <c r="F79" s="16" t="s">
        <v>697</v>
      </c>
      <c r="G79" s="32"/>
      <c r="H79" s="48" t="s">
        <v>698</v>
      </c>
      <c r="I79" s="43" t="s">
        <v>699</v>
      </c>
      <c r="J79" s="22"/>
      <c r="K79" s="22"/>
      <c r="L79" s="22"/>
      <c r="M79" s="53" t="s">
        <v>552</v>
      </c>
      <c r="N79" s="62"/>
      <c r="O79" s="62" t="s">
        <v>700</v>
      </c>
      <c r="P79" s="63"/>
      <c r="Q79" s="64" t="s">
        <v>701</v>
      </c>
      <c r="R79" s="39" t="s">
        <v>702</v>
      </c>
      <c r="S79" s="32" t="s">
        <v>41</v>
      </c>
      <c r="T79" s="21" t="s">
        <v>703</v>
      </c>
      <c r="U79" s="28"/>
      <c r="V79" s="28"/>
      <c r="W79" s="29" t="s">
        <v>398</v>
      </c>
      <c r="X79" s="29" t="s">
        <v>477</v>
      </c>
      <c r="Y79" s="30" t="s">
        <v>618</v>
      </c>
      <c r="Z79" s="30"/>
      <c r="AA79" s="30"/>
      <c r="AB79" s="41"/>
      <c r="AC79" s="32" t="s">
        <v>704</v>
      </c>
      <c r="AD79" s="21"/>
      <c r="AE79" s="32"/>
      <c r="AF79" s="32"/>
      <c r="AG79" s="32"/>
      <c r="AH79" s="32"/>
      <c r="AI79" s="32"/>
      <c r="AJ79" s="32"/>
      <c r="AK79" s="32"/>
      <c r="AL79" s="32"/>
      <c r="AM79" s="32"/>
      <c r="AN79" s="32"/>
      <c r="AO79" s="32"/>
      <c r="AP79" s="32"/>
      <c r="AQ79" s="32"/>
    </row>
    <row r="80" spans="1:43" ht="15.75" customHeight="1">
      <c r="A80" s="441" t="s">
        <v>705</v>
      </c>
      <c r="B80" s="129" t="s">
        <v>706</v>
      </c>
      <c r="C80" s="253" t="s">
        <v>170</v>
      </c>
      <c r="D80" s="238" t="s">
        <v>588</v>
      </c>
      <c r="E80" s="58" t="s">
        <v>707</v>
      </c>
      <c r="F80" s="16" t="s">
        <v>708</v>
      </c>
      <c r="G80" s="32" t="s">
        <v>709</v>
      </c>
      <c r="H80" s="32" t="s">
        <v>710</v>
      </c>
      <c r="I80" s="43" t="s">
        <v>711</v>
      </c>
      <c r="J80" s="22"/>
      <c r="K80" s="22"/>
      <c r="L80" s="22"/>
      <c r="M80" s="43" t="s">
        <v>712</v>
      </c>
      <c r="N80" s="54" t="s">
        <v>713</v>
      </c>
      <c r="O80" s="54"/>
      <c r="P80" s="55" t="s">
        <v>38</v>
      </c>
      <c r="Q80" s="56" t="s">
        <v>39</v>
      </c>
      <c r="R80" s="96" t="s">
        <v>79</v>
      </c>
      <c r="S80" s="32" t="s">
        <v>714</v>
      </c>
      <c r="T80" s="21"/>
      <c r="U80" s="28"/>
      <c r="V80" s="28"/>
      <c r="W80" s="29" t="s">
        <v>715</v>
      </c>
      <c r="X80" s="29" t="s">
        <v>716</v>
      </c>
      <c r="Y80" s="30" t="s">
        <v>717</v>
      </c>
      <c r="Z80" s="30"/>
      <c r="AA80" s="30"/>
      <c r="AB80" s="41"/>
      <c r="AC80" s="32"/>
      <c r="AD80" s="32"/>
      <c r="AE80" s="32"/>
      <c r="AF80" s="32"/>
      <c r="AG80" s="32"/>
      <c r="AH80" s="32"/>
      <c r="AI80" s="32"/>
      <c r="AJ80" s="32"/>
      <c r="AK80" s="32"/>
      <c r="AL80" s="32"/>
      <c r="AM80" s="32"/>
      <c r="AN80" s="32"/>
      <c r="AO80" s="32"/>
      <c r="AP80" s="32"/>
      <c r="AQ80" s="32"/>
    </row>
    <row r="81" spans="1:43" ht="15.75" customHeight="1">
      <c r="A81" s="441" t="s">
        <v>718</v>
      </c>
      <c r="B81" s="14" t="s">
        <v>429</v>
      </c>
      <c r="C81" s="254" t="s">
        <v>170</v>
      </c>
      <c r="D81" s="367" t="s">
        <v>588</v>
      </c>
      <c r="E81" s="136" t="s">
        <v>719</v>
      </c>
      <c r="F81" s="16" t="s">
        <v>720</v>
      </c>
      <c r="G81" s="32" t="s">
        <v>721</v>
      </c>
      <c r="H81" s="14" t="s">
        <v>173</v>
      </c>
      <c r="I81" s="43" t="s">
        <v>722</v>
      </c>
      <c r="J81" s="22"/>
      <c r="K81" s="22"/>
      <c r="L81" s="22"/>
      <c r="M81" s="36" t="s">
        <v>486</v>
      </c>
      <c r="N81" s="54" t="s">
        <v>723</v>
      </c>
      <c r="O81" s="54"/>
      <c r="P81" s="55"/>
      <c r="Q81" s="56"/>
      <c r="R81" s="96" t="s">
        <v>79</v>
      </c>
      <c r="S81" s="32" t="s">
        <v>41</v>
      </c>
      <c r="T81" s="21"/>
      <c r="U81" s="28"/>
      <c r="V81" s="28"/>
      <c r="W81" s="29"/>
      <c r="X81" s="29"/>
      <c r="Y81" s="30"/>
      <c r="Z81" s="30"/>
      <c r="AA81" s="30"/>
      <c r="AB81" s="108"/>
      <c r="AC81" s="32"/>
      <c r="AD81" s="32"/>
      <c r="AE81" s="32"/>
      <c r="AF81" s="32"/>
      <c r="AG81" s="32"/>
      <c r="AH81" s="32"/>
      <c r="AI81" s="32"/>
      <c r="AJ81" s="32"/>
      <c r="AK81" s="32"/>
      <c r="AL81" s="32"/>
      <c r="AM81" s="32"/>
      <c r="AN81" s="32"/>
      <c r="AO81" s="32"/>
      <c r="AP81" s="32"/>
      <c r="AQ81" s="32"/>
    </row>
    <row r="82" spans="1:43" ht="15.75" customHeight="1">
      <c r="A82" s="444" t="s">
        <v>724</v>
      </c>
      <c r="B82" s="311" t="s">
        <v>43</v>
      </c>
      <c r="C82" s="271" t="s">
        <v>725</v>
      </c>
      <c r="D82" s="272"/>
      <c r="E82" s="273"/>
      <c r="F82" s="315" t="s">
        <v>726</v>
      </c>
      <c r="G82" s="286"/>
      <c r="H82" s="286" t="s">
        <v>727</v>
      </c>
      <c r="I82" s="313" t="s">
        <v>443</v>
      </c>
      <c r="J82" s="314"/>
      <c r="K82" s="326"/>
      <c r="L82" s="326"/>
      <c r="M82" s="316" t="s">
        <v>728</v>
      </c>
      <c r="N82" s="317" t="s">
        <v>729</v>
      </c>
      <c r="O82" s="317"/>
      <c r="P82" s="327" t="s">
        <v>730</v>
      </c>
      <c r="Q82" s="318" t="s">
        <v>731</v>
      </c>
      <c r="R82" s="404" t="s">
        <v>49</v>
      </c>
      <c r="S82" s="286" t="s">
        <v>41</v>
      </c>
      <c r="T82" s="408" t="s">
        <v>732</v>
      </c>
      <c r="U82" s="412"/>
      <c r="V82" s="412"/>
      <c r="W82" s="320"/>
      <c r="X82" s="320"/>
      <c r="Y82" s="284"/>
      <c r="Z82" s="284"/>
      <c r="AA82" s="284"/>
      <c r="AB82" s="285"/>
      <c r="AC82" s="286"/>
      <c r="AD82" s="286"/>
      <c r="AE82" s="32"/>
      <c r="AF82" s="32"/>
      <c r="AG82" s="32"/>
      <c r="AH82" s="32"/>
      <c r="AI82" s="32"/>
      <c r="AJ82" s="32"/>
      <c r="AK82" s="32"/>
      <c r="AL82" s="32"/>
      <c r="AM82" s="32"/>
      <c r="AN82" s="32"/>
      <c r="AO82" s="32"/>
      <c r="AP82" s="32"/>
      <c r="AQ82" s="32"/>
    </row>
    <row r="83" spans="1:43" ht="15.75" customHeight="1">
      <c r="A83" s="441" t="s">
        <v>733</v>
      </c>
      <c r="B83" s="14" t="s">
        <v>43</v>
      </c>
      <c r="C83" s="321" t="s">
        <v>142</v>
      </c>
      <c r="D83" s="232"/>
      <c r="E83" s="58"/>
      <c r="F83" s="47" t="s">
        <v>734</v>
      </c>
      <c r="G83" s="32"/>
      <c r="H83" s="48" t="s">
        <v>735</v>
      </c>
      <c r="I83" s="43" t="s">
        <v>736</v>
      </c>
      <c r="J83" s="22"/>
      <c r="K83" s="22"/>
      <c r="L83" s="22"/>
      <c r="M83" s="53" t="s">
        <v>649</v>
      </c>
      <c r="N83" s="73" t="s">
        <v>737</v>
      </c>
      <c r="O83" s="73"/>
      <c r="P83" s="55" t="s">
        <v>38</v>
      </c>
      <c r="Q83" s="75" t="s">
        <v>39</v>
      </c>
      <c r="R83" s="94" t="s">
        <v>738</v>
      </c>
      <c r="S83" s="32" t="s">
        <v>41</v>
      </c>
      <c r="T83" s="21" t="s">
        <v>739</v>
      </c>
      <c r="U83" s="28"/>
      <c r="V83" s="28"/>
      <c r="W83" s="29"/>
      <c r="X83" s="29"/>
      <c r="Y83" s="30"/>
      <c r="Z83" s="30"/>
      <c r="AA83" s="30" t="s">
        <v>740</v>
      </c>
      <c r="AB83" s="41"/>
      <c r="AC83" s="32"/>
      <c r="AD83" s="32"/>
      <c r="AE83" s="32"/>
      <c r="AF83" s="32"/>
      <c r="AG83" s="32"/>
      <c r="AH83" s="32"/>
      <c r="AI83" s="32"/>
      <c r="AJ83" s="32"/>
      <c r="AK83" s="32"/>
      <c r="AL83" s="32"/>
      <c r="AM83" s="32"/>
      <c r="AN83" s="32"/>
      <c r="AO83" s="32"/>
      <c r="AP83" s="32"/>
      <c r="AQ83" s="32"/>
    </row>
    <row r="84" spans="1:43" ht="15.75" customHeight="1">
      <c r="A84" s="442" t="s">
        <v>3872</v>
      </c>
      <c r="B84" s="14" t="s">
        <v>741</v>
      </c>
      <c r="C84" s="246" t="s">
        <v>742</v>
      </c>
      <c r="D84" s="232"/>
      <c r="E84" s="58"/>
      <c r="F84" s="16" t="s">
        <v>743</v>
      </c>
      <c r="G84" s="32" t="s">
        <v>744</v>
      </c>
      <c r="H84" s="48" t="s">
        <v>745</v>
      </c>
      <c r="I84" s="43" t="s">
        <v>746</v>
      </c>
      <c r="J84" s="82"/>
      <c r="K84" s="82"/>
      <c r="L84" s="22"/>
      <c r="M84" s="43" t="s">
        <v>251</v>
      </c>
      <c r="N84" s="38" t="s">
        <v>747</v>
      </c>
      <c r="O84" s="38"/>
      <c r="P84" s="25"/>
      <c r="Q84" s="137"/>
      <c r="R84" s="96" t="s">
        <v>79</v>
      </c>
      <c r="S84" s="32" t="s">
        <v>41</v>
      </c>
      <c r="T84" s="21"/>
      <c r="U84" s="28"/>
      <c r="V84" s="28"/>
      <c r="W84" s="29"/>
      <c r="X84" s="29"/>
      <c r="Y84" s="30"/>
      <c r="Z84" s="30"/>
      <c r="AA84" s="30"/>
      <c r="AB84" s="41"/>
      <c r="AC84" s="32"/>
      <c r="AD84" s="32"/>
      <c r="AE84" s="32"/>
      <c r="AF84" s="32"/>
      <c r="AG84" s="32"/>
      <c r="AH84" s="32"/>
      <c r="AI84" s="32"/>
      <c r="AJ84" s="32"/>
      <c r="AK84" s="32"/>
      <c r="AL84" s="32"/>
      <c r="AM84" s="32"/>
      <c r="AN84" s="32"/>
      <c r="AO84" s="32"/>
      <c r="AP84" s="32"/>
      <c r="AQ84" s="32"/>
    </row>
    <row r="85" spans="1:43" ht="15.75" customHeight="1">
      <c r="A85" s="441" t="s">
        <v>748</v>
      </c>
      <c r="B85" s="14" t="s">
        <v>741</v>
      </c>
      <c r="C85" s="247" t="s">
        <v>170</v>
      </c>
      <c r="D85" s="232"/>
      <c r="E85" s="58"/>
      <c r="F85" s="16" t="s">
        <v>749</v>
      </c>
      <c r="G85" s="32" t="s">
        <v>750</v>
      </c>
      <c r="H85" s="40" t="s">
        <v>751</v>
      </c>
      <c r="I85" s="43" t="s">
        <v>118</v>
      </c>
      <c r="J85" s="22"/>
      <c r="K85" s="22"/>
      <c r="L85" s="22"/>
      <c r="M85" s="53" t="s">
        <v>91</v>
      </c>
      <c r="N85" s="54" t="s">
        <v>752</v>
      </c>
      <c r="O85" s="54"/>
      <c r="P85" s="55"/>
      <c r="Q85" s="56"/>
      <c r="R85" s="39" t="s">
        <v>49</v>
      </c>
      <c r="S85" s="32" t="s">
        <v>41</v>
      </c>
      <c r="T85" s="21" t="s">
        <v>753</v>
      </c>
      <c r="U85" s="28"/>
      <c r="V85" s="28"/>
      <c r="W85" s="29"/>
      <c r="X85" s="29"/>
      <c r="Y85" s="30"/>
      <c r="Z85" s="30"/>
      <c r="AA85" s="30"/>
      <c r="AB85" s="41"/>
      <c r="AC85" s="32"/>
      <c r="AD85" s="32"/>
      <c r="AE85" s="32"/>
      <c r="AF85" s="32"/>
      <c r="AG85" s="32"/>
      <c r="AH85" s="32"/>
      <c r="AI85" s="32"/>
      <c r="AJ85" s="32"/>
      <c r="AK85" s="32"/>
      <c r="AL85" s="32"/>
      <c r="AM85" s="32"/>
      <c r="AN85" s="32"/>
      <c r="AO85" s="32"/>
      <c r="AP85" s="32"/>
      <c r="AQ85" s="32"/>
    </row>
    <row r="86" spans="1:43" ht="15.75" customHeight="1">
      <c r="A86" s="442" t="s">
        <v>3871</v>
      </c>
      <c r="B86" s="14" t="s">
        <v>429</v>
      </c>
      <c r="C86" s="246" t="s">
        <v>754</v>
      </c>
      <c r="D86" s="232"/>
      <c r="E86" s="58"/>
      <c r="F86" s="16" t="s">
        <v>755</v>
      </c>
      <c r="G86" s="32"/>
      <c r="H86" s="48" t="s">
        <v>756</v>
      </c>
      <c r="I86" s="43" t="s">
        <v>757</v>
      </c>
      <c r="J86" s="98"/>
      <c r="K86" s="82"/>
      <c r="L86" s="82" t="s">
        <v>495</v>
      </c>
      <c r="M86" s="43" t="s">
        <v>758</v>
      </c>
      <c r="N86" s="38" t="s">
        <v>759</v>
      </c>
      <c r="O86" s="134" t="s">
        <v>38</v>
      </c>
      <c r="P86" s="25"/>
      <c r="Q86" s="75" t="s">
        <v>39</v>
      </c>
      <c r="R86" s="296" t="s">
        <v>370</v>
      </c>
      <c r="S86" s="32" t="s">
        <v>41</v>
      </c>
      <c r="T86" s="21"/>
      <c r="U86" s="28"/>
      <c r="V86" s="28"/>
      <c r="W86" s="29"/>
      <c r="X86" s="29"/>
      <c r="Y86" s="30"/>
      <c r="Z86" s="30"/>
      <c r="AA86" s="30"/>
      <c r="AB86" s="41"/>
      <c r="AC86" s="32"/>
      <c r="AD86" s="32"/>
      <c r="AE86" s="32"/>
      <c r="AF86" s="32"/>
      <c r="AG86" s="32"/>
      <c r="AH86" s="32"/>
      <c r="AI86" s="32"/>
      <c r="AJ86" s="32"/>
      <c r="AK86" s="32"/>
      <c r="AL86" s="32"/>
      <c r="AM86" s="32"/>
      <c r="AN86" s="32"/>
      <c r="AO86" s="32"/>
      <c r="AP86" s="32"/>
      <c r="AQ86" s="32"/>
    </row>
    <row r="87" spans="1:43" ht="15.75" customHeight="1">
      <c r="A87" s="441" t="s">
        <v>760</v>
      </c>
      <c r="B87" s="14" t="s">
        <v>429</v>
      </c>
      <c r="C87" s="321" t="s">
        <v>142</v>
      </c>
      <c r="D87" s="232"/>
      <c r="E87" s="58"/>
      <c r="F87" s="47" t="s">
        <v>761</v>
      </c>
      <c r="G87" s="32"/>
      <c r="H87" s="32" t="s">
        <v>762</v>
      </c>
      <c r="I87" s="43" t="s">
        <v>763</v>
      </c>
      <c r="J87" s="22"/>
      <c r="K87" s="22"/>
      <c r="L87" s="22" t="s">
        <v>764</v>
      </c>
      <c r="M87" s="135" t="s">
        <v>649</v>
      </c>
      <c r="N87" s="73" t="s">
        <v>765</v>
      </c>
      <c r="O87" s="73" t="s">
        <v>766</v>
      </c>
      <c r="P87" s="74"/>
      <c r="Q87" s="75" t="s">
        <v>767</v>
      </c>
      <c r="R87" s="39" t="s">
        <v>517</v>
      </c>
      <c r="S87" s="32" t="s">
        <v>41</v>
      </c>
      <c r="T87" s="21" t="s">
        <v>768</v>
      </c>
      <c r="U87" s="28"/>
      <c r="V87" s="28"/>
      <c r="W87" s="72"/>
      <c r="X87" s="29"/>
      <c r="Y87" s="30" t="s">
        <v>769</v>
      </c>
      <c r="Z87" s="30" t="s">
        <v>770</v>
      </c>
      <c r="AA87" s="30" t="s">
        <v>771</v>
      </c>
      <c r="AB87" s="31"/>
      <c r="AC87" s="32"/>
      <c r="AD87" s="32"/>
      <c r="AE87" s="32"/>
      <c r="AF87" s="32"/>
      <c r="AG87" s="32"/>
      <c r="AH87" s="32"/>
      <c r="AI87" s="32"/>
      <c r="AJ87" s="32"/>
      <c r="AK87" s="32"/>
      <c r="AL87" s="32"/>
      <c r="AM87" s="32"/>
      <c r="AN87" s="32"/>
      <c r="AO87" s="32"/>
      <c r="AP87" s="32"/>
      <c r="AQ87" s="32"/>
    </row>
    <row r="88" spans="1:43" ht="15.75" customHeight="1">
      <c r="A88" s="441" t="s">
        <v>772</v>
      </c>
      <c r="B88" s="14" t="s">
        <v>773</v>
      </c>
      <c r="C88" s="247" t="s">
        <v>170</v>
      </c>
      <c r="D88" s="231" t="s">
        <v>774</v>
      </c>
      <c r="E88" s="58" t="s">
        <v>775</v>
      </c>
      <c r="F88" s="16" t="s">
        <v>776</v>
      </c>
      <c r="G88" s="32" t="s">
        <v>777</v>
      </c>
      <c r="H88" s="40" t="s">
        <v>778</v>
      </c>
      <c r="I88" s="43" t="s">
        <v>118</v>
      </c>
      <c r="J88" s="22"/>
      <c r="K88" s="22"/>
      <c r="L88" s="22"/>
      <c r="M88" s="53" t="s">
        <v>91</v>
      </c>
      <c r="N88" s="54" t="s">
        <v>779</v>
      </c>
      <c r="O88" s="54"/>
      <c r="P88" s="55"/>
      <c r="Q88" s="56"/>
      <c r="R88" s="39" t="s">
        <v>49</v>
      </c>
      <c r="S88" s="32" t="s">
        <v>41</v>
      </c>
      <c r="T88" s="21" t="s">
        <v>780</v>
      </c>
      <c r="U88" s="28"/>
      <c r="V88" s="28"/>
      <c r="W88" s="29"/>
      <c r="X88" s="29"/>
      <c r="Y88" s="30"/>
      <c r="Z88" s="30"/>
      <c r="AA88" s="30"/>
      <c r="AB88" s="41"/>
      <c r="AC88" s="32"/>
      <c r="AD88" s="32"/>
      <c r="AE88" s="32"/>
      <c r="AF88" s="32"/>
      <c r="AG88" s="32"/>
      <c r="AH88" s="32"/>
      <c r="AI88" s="32"/>
      <c r="AJ88" s="32"/>
      <c r="AK88" s="32"/>
      <c r="AL88" s="32"/>
      <c r="AM88" s="32"/>
      <c r="AN88" s="32"/>
      <c r="AO88" s="32"/>
      <c r="AP88" s="32"/>
      <c r="AQ88" s="32"/>
    </row>
    <row r="89" spans="1:43" ht="15.75" customHeight="1">
      <c r="A89" s="441" t="s">
        <v>781</v>
      </c>
      <c r="B89" s="14" t="s">
        <v>43</v>
      </c>
      <c r="C89" s="248" t="s">
        <v>142</v>
      </c>
      <c r="D89" s="232"/>
      <c r="E89" s="58"/>
      <c r="F89" s="16" t="s">
        <v>782</v>
      </c>
      <c r="G89" s="32"/>
      <c r="H89" s="48" t="s">
        <v>783</v>
      </c>
      <c r="I89" s="43" t="s">
        <v>784</v>
      </c>
      <c r="J89" s="22"/>
      <c r="K89" s="22"/>
      <c r="L89" s="22" t="s">
        <v>534</v>
      </c>
      <c r="M89" s="135" t="s">
        <v>649</v>
      </c>
      <c r="N89" s="73" t="s">
        <v>785</v>
      </c>
      <c r="O89" s="73" t="s">
        <v>786</v>
      </c>
      <c r="P89" s="74"/>
      <c r="Q89" s="91" t="s">
        <v>787</v>
      </c>
      <c r="R89" s="39" t="s">
        <v>517</v>
      </c>
      <c r="S89" s="32" t="s">
        <v>41</v>
      </c>
      <c r="T89" s="21" t="s">
        <v>788</v>
      </c>
      <c r="U89" s="28"/>
      <c r="V89" s="28"/>
      <c r="W89" s="72"/>
      <c r="X89" s="29"/>
      <c r="Y89" s="30"/>
      <c r="Z89" s="30" t="s">
        <v>789</v>
      </c>
      <c r="AA89" s="30" t="s">
        <v>790</v>
      </c>
      <c r="AB89" s="41"/>
      <c r="AC89" s="32"/>
      <c r="AD89" s="32"/>
      <c r="AE89" s="32"/>
      <c r="AF89" s="32"/>
      <c r="AG89" s="32"/>
      <c r="AH89" s="32"/>
      <c r="AI89" s="32"/>
      <c r="AJ89" s="32"/>
      <c r="AK89" s="32"/>
      <c r="AL89" s="32"/>
      <c r="AM89" s="32"/>
      <c r="AN89" s="32"/>
      <c r="AO89" s="32"/>
      <c r="AP89" s="32"/>
      <c r="AQ89" s="32"/>
    </row>
    <row r="90" spans="1:43" ht="15.75" customHeight="1">
      <c r="A90" s="441" t="s">
        <v>791</v>
      </c>
      <c r="B90" s="14" t="s">
        <v>43</v>
      </c>
      <c r="C90" s="255" t="s">
        <v>142</v>
      </c>
      <c r="D90" s="308"/>
      <c r="E90" s="136"/>
      <c r="F90" s="16" t="s">
        <v>792</v>
      </c>
      <c r="G90" s="32"/>
      <c r="H90" s="48" t="s">
        <v>793</v>
      </c>
      <c r="I90" s="43" t="s">
        <v>794</v>
      </c>
      <c r="J90" s="22"/>
      <c r="K90" s="22"/>
      <c r="L90" s="22" t="s">
        <v>795</v>
      </c>
      <c r="M90" s="135" t="s">
        <v>796</v>
      </c>
      <c r="N90" s="54" t="s">
        <v>797</v>
      </c>
      <c r="O90" s="54" t="s">
        <v>798</v>
      </c>
      <c r="P90" s="55"/>
      <c r="Q90" s="56" t="s">
        <v>799</v>
      </c>
      <c r="R90" s="39" t="s">
        <v>517</v>
      </c>
      <c r="S90" s="32" t="s">
        <v>41</v>
      </c>
      <c r="T90" s="21" t="s">
        <v>788</v>
      </c>
      <c r="U90" s="28"/>
      <c r="V90" s="28"/>
      <c r="W90" s="72"/>
      <c r="X90" s="29"/>
      <c r="Y90" s="30"/>
      <c r="Z90" s="30" t="s">
        <v>800</v>
      </c>
      <c r="AA90" s="30" t="s">
        <v>801</v>
      </c>
      <c r="AB90" s="41"/>
      <c r="AC90" s="32"/>
      <c r="AD90" s="21"/>
      <c r="AE90" s="32"/>
      <c r="AF90" s="32"/>
      <c r="AG90" s="32"/>
      <c r="AH90" s="32"/>
      <c r="AI90" s="32"/>
      <c r="AJ90" s="32"/>
      <c r="AK90" s="32"/>
      <c r="AL90" s="32"/>
      <c r="AM90" s="32"/>
      <c r="AN90" s="32"/>
      <c r="AO90" s="32"/>
      <c r="AP90" s="32"/>
      <c r="AQ90" s="32"/>
    </row>
    <row r="91" spans="1:43" ht="15.75" customHeight="1">
      <c r="A91" s="442" t="s">
        <v>3870</v>
      </c>
      <c r="B91" s="14" t="s">
        <v>43</v>
      </c>
      <c r="C91" s="307" t="s">
        <v>774</v>
      </c>
      <c r="D91" s="365" t="s">
        <v>802</v>
      </c>
      <c r="E91" s="136"/>
      <c r="F91" s="16" t="s">
        <v>803</v>
      </c>
      <c r="G91" s="32" t="s">
        <v>804</v>
      </c>
      <c r="H91" s="48" t="s">
        <v>805</v>
      </c>
      <c r="I91" s="43" t="s">
        <v>118</v>
      </c>
      <c r="J91" s="22"/>
      <c r="K91" s="22"/>
      <c r="L91" s="22"/>
      <c r="M91" s="53" t="s">
        <v>91</v>
      </c>
      <c r="N91" s="54" t="s">
        <v>806</v>
      </c>
      <c r="O91" s="54"/>
      <c r="P91" s="55"/>
      <c r="Q91" s="56"/>
      <c r="R91" s="39" t="s">
        <v>49</v>
      </c>
      <c r="S91" s="32" t="s">
        <v>41</v>
      </c>
      <c r="T91" s="409" t="s">
        <v>807</v>
      </c>
      <c r="U91" s="28"/>
      <c r="V91" s="28"/>
      <c r="W91" s="29"/>
      <c r="X91" s="29"/>
      <c r="Y91" s="30"/>
      <c r="Z91" s="30"/>
      <c r="AA91" s="30"/>
      <c r="AB91" s="41"/>
      <c r="AC91" s="32"/>
      <c r="AD91" s="32"/>
      <c r="AE91" s="32"/>
      <c r="AF91" s="32"/>
      <c r="AG91" s="32"/>
      <c r="AH91" s="32"/>
      <c r="AI91" s="32"/>
      <c r="AJ91" s="32"/>
      <c r="AK91" s="32"/>
      <c r="AL91" s="32"/>
      <c r="AM91" s="32"/>
      <c r="AN91" s="32"/>
      <c r="AO91" s="32"/>
      <c r="AP91" s="32"/>
      <c r="AQ91" s="32"/>
    </row>
    <row r="92" spans="1:43" ht="15.75" customHeight="1">
      <c r="A92" s="441" t="s">
        <v>808</v>
      </c>
      <c r="B92" s="14" t="s">
        <v>429</v>
      </c>
      <c r="C92" s="252" t="s">
        <v>170</v>
      </c>
      <c r="D92" s="232"/>
      <c r="E92" s="58"/>
      <c r="F92" s="16" t="s">
        <v>809</v>
      </c>
      <c r="G92" s="32" t="s">
        <v>810</v>
      </c>
      <c r="H92" s="48" t="s">
        <v>811</v>
      </c>
      <c r="I92" s="125" t="s">
        <v>812</v>
      </c>
      <c r="J92" s="22"/>
      <c r="K92" s="22"/>
      <c r="L92" s="22"/>
      <c r="M92" s="53" t="s">
        <v>604</v>
      </c>
      <c r="N92" s="38" t="s">
        <v>813</v>
      </c>
      <c r="O92" s="38"/>
      <c r="P92" s="55" t="s">
        <v>38</v>
      </c>
      <c r="Q92" s="56" t="s">
        <v>39</v>
      </c>
      <c r="R92" s="39" t="s">
        <v>49</v>
      </c>
      <c r="S92" s="32" t="s">
        <v>41</v>
      </c>
      <c r="T92" s="21"/>
      <c r="U92" s="28"/>
      <c r="V92" s="28"/>
      <c r="W92" s="29"/>
      <c r="X92" s="29"/>
      <c r="Y92" s="30"/>
      <c r="Z92" s="30"/>
      <c r="AA92" s="30"/>
      <c r="AB92" s="41"/>
      <c r="AC92" s="32"/>
      <c r="AD92" s="32"/>
      <c r="AE92" s="32"/>
      <c r="AF92" s="32"/>
      <c r="AG92" s="32"/>
      <c r="AH92" s="32"/>
      <c r="AI92" s="32"/>
      <c r="AJ92" s="32"/>
      <c r="AK92" s="32"/>
      <c r="AL92" s="32"/>
      <c r="AM92" s="32"/>
      <c r="AN92" s="32"/>
      <c r="AO92" s="32"/>
      <c r="AP92" s="32"/>
      <c r="AQ92" s="32"/>
    </row>
    <row r="93" spans="1:43" ht="15.75" customHeight="1">
      <c r="A93" s="441" t="s">
        <v>814</v>
      </c>
      <c r="B93" s="32" t="s">
        <v>466</v>
      </c>
      <c r="C93" s="248" t="s">
        <v>142</v>
      </c>
      <c r="D93" s="232"/>
      <c r="E93" s="58"/>
      <c r="F93" s="16" t="s">
        <v>815</v>
      </c>
      <c r="G93" s="32" t="s">
        <v>509</v>
      </c>
      <c r="H93" s="32" t="s">
        <v>816</v>
      </c>
      <c r="I93" s="125" t="s">
        <v>817</v>
      </c>
      <c r="J93" s="138" t="s">
        <v>818</v>
      </c>
      <c r="K93" s="82"/>
      <c r="L93" s="22" t="s">
        <v>819</v>
      </c>
      <c r="M93" s="53" t="s">
        <v>820</v>
      </c>
      <c r="N93" s="73" t="s">
        <v>821</v>
      </c>
      <c r="O93" s="73" t="s">
        <v>4025</v>
      </c>
      <c r="P93" s="74"/>
      <c r="Q93" s="91" t="s">
        <v>4024</v>
      </c>
      <c r="R93" s="39" t="s">
        <v>517</v>
      </c>
      <c r="S93" s="32" t="s">
        <v>41</v>
      </c>
      <c r="T93" s="21"/>
      <c r="U93" s="28"/>
      <c r="V93" s="28"/>
      <c r="W93" s="29"/>
      <c r="X93" s="29"/>
      <c r="Y93" s="30" t="s">
        <v>822</v>
      </c>
      <c r="Z93" s="30"/>
      <c r="AA93" s="30"/>
      <c r="AB93" s="31"/>
      <c r="AC93" s="32"/>
      <c r="AD93" s="32"/>
      <c r="AE93" s="32"/>
      <c r="AF93" s="32"/>
      <c r="AG93" s="32"/>
      <c r="AH93" s="32"/>
      <c r="AI93" s="32"/>
      <c r="AJ93" s="32"/>
      <c r="AK93" s="32"/>
      <c r="AL93" s="32"/>
      <c r="AM93" s="32"/>
      <c r="AN93" s="32"/>
      <c r="AO93" s="32"/>
      <c r="AP93" s="32"/>
      <c r="AQ93" s="32"/>
    </row>
    <row r="94" spans="1:43" ht="15.75" customHeight="1">
      <c r="A94" s="441" t="s">
        <v>823</v>
      </c>
      <c r="B94" s="32" t="s">
        <v>43</v>
      </c>
      <c r="C94" s="246" t="s">
        <v>823</v>
      </c>
      <c r="D94" s="232"/>
      <c r="E94" s="58"/>
      <c r="F94" s="47" t="s">
        <v>824</v>
      </c>
      <c r="G94" s="32"/>
      <c r="H94" s="48" t="s">
        <v>825</v>
      </c>
      <c r="I94" s="43" t="s">
        <v>826</v>
      </c>
      <c r="J94" s="35"/>
      <c r="K94" s="22"/>
      <c r="L94" s="22" t="s">
        <v>827</v>
      </c>
      <c r="M94" s="53" t="s">
        <v>828</v>
      </c>
      <c r="N94" s="54" t="s">
        <v>829</v>
      </c>
      <c r="O94" s="54"/>
      <c r="P94" s="55"/>
      <c r="Q94" s="56"/>
      <c r="R94" s="305" t="s">
        <v>40</v>
      </c>
      <c r="S94" s="32" t="s">
        <v>41</v>
      </c>
      <c r="T94" s="21"/>
      <c r="U94" s="28"/>
      <c r="V94" s="28"/>
      <c r="W94" s="29"/>
      <c r="X94" s="29"/>
      <c r="Y94" s="30"/>
      <c r="Z94" s="30"/>
      <c r="AA94" s="30"/>
      <c r="AB94" s="41"/>
      <c r="AC94" s="32"/>
      <c r="AD94" s="32"/>
      <c r="AE94" s="32"/>
      <c r="AF94" s="32"/>
      <c r="AG94" s="32"/>
      <c r="AH94" s="32"/>
      <c r="AI94" s="32"/>
      <c r="AJ94" s="32"/>
      <c r="AK94" s="32"/>
      <c r="AL94" s="32"/>
      <c r="AM94" s="32"/>
      <c r="AN94" s="32"/>
      <c r="AO94" s="32"/>
      <c r="AP94" s="32"/>
      <c r="AQ94" s="32"/>
    </row>
    <row r="95" spans="1:43" ht="15.75" customHeight="1">
      <c r="A95" s="441" t="s">
        <v>830</v>
      </c>
      <c r="B95" s="32" t="s">
        <v>43</v>
      </c>
      <c r="C95" s="248" t="s">
        <v>831</v>
      </c>
      <c r="D95" s="232"/>
      <c r="E95" s="58"/>
      <c r="F95" s="47" t="s">
        <v>832</v>
      </c>
      <c r="G95" s="32"/>
      <c r="H95" s="48" t="s">
        <v>833</v>
      </c>
      <c r="I95" s="43" t="s">
        <v>834</v>
      </c>
      <c r="J95" s="22"/>
      <c r="K95" s="22"/>
      <c r="L95" s="22" t="s">
        <v>534</v>
      </c>
      <c r="M95" s="53" t="s">
        <v>835</v>
      </c>
      <c r="N95" s="73" t="s">
        <v>836</v>
      </c>
      <c r="O95" s="73"/>
      <c r="P95" s="74"/>
      <c r="Q95" s="75"/>
      <c r="R95" s="96" t="s">
        <v>537</v>
      </c>
      <c r="S95" s="32" t="s">
        <v>41</v>
      </c>
      <c r="T95" s="21"/>
      <c r="U95" s="28"/>
      <c r="V95" s="28"/>
      <c r="W95" s="29"/>
      <c r="X95" s="29"/>
      <c r="Y95" s="30"/>
      <c r="Z95" s="30"/>
      <c r="AA95" s="30"/>
      <c r="AB95" s="41"/>
      <c r="AC95" s="32"/>
      <c r="AD95" s="32"/>
      <c r="AE95" s="32"/>
      <c r="AF95" s="32"/>
      <c r="AG95" s="32"/>
      <c r="AH95" s="32"/>
      <c r="AI95" s="32"/>
      <c r="AJ95" s="32"/>
      <c r="AK95" s="32"/>
      <c r="AL95" s="32"/>
      <c r="AM95" s="32"/>
      <c r="AN95" s="32"/>
      <c r="AO95" s="32"/>
      <c r="AP95" s="32"/>
      <c r="AQ95" s="32"/>
    </row>
    <row r="96" spans="1:43" ht="15.75" customHeight="1">
      <c r="A96" s="441" t="s">
        <v>3869</v>
      </c>
      <c r="B96" s="14" t="s">
        <v>429</v>
      </c>
      <c r="C96" s="307" t="s">
        <v>802</v>
      </c>
      <c r="D96" s="308"/>
      <c r="E96" s="136"/>
      <c r="F96" s="16" t="s">
        <v>837</v>
      </c>
      <c r="G96" s="32" t="s">
        <v>838</v>
      </c>
      <c r="H96" s="40" t="s">
        <v>839</v>
      </c>
      <c r="I96" s="43" t="s">
        <v>118</v>
      </c>
      <c r="J96" s="22"/>
      <c r="K96" s="22"/>
      <c r="L96" s="22"/>
      <c r="M96" s="126" t="s">
        <v>91</v>
      </c>
      <c r="N96" s="54" t="s">
        <v>840</v>
      </c>
      <c r="O96" s="54"/>
      <c r="P96" s="55"/>
      <c r="Q96" s="56"/>
      <c r="R96" s="39" t="s">
        <v>49</v>
      </c>
      <c r="S96" s="32" t="s">
        <v>41</v>
      </c>
      <c r="T96" s="21"/>
      <c r="U96" s="28"/>
      <c r="V96" s="28"/>
      <c r="W96" s="29"/>
      <c r="X96" s="29"/>
      <c r="Y96" s="30"/>
      <c r="Z96" s="30"/>
      <c r="AA96" s="30"/>
      <c r="AB96" s="41"/>
      <c r="AC96" s="32"/>
      <c r="AD96" s="32"/>
      <c r="AE96" s="32"/>
      <c r="AF96" s="32"/>
      <c r="AG96" s="32"/>
      <c r="AH96" s="32"/>
      <c r="AI96" s="32"/>
      <c r="AJ96" s="32"/>
      <c r="AK96" s="32"/>
      <c r="AL96" s="32"/>
      <c r="AM96" s="32"/>
      <c r="AN96" s="32"/>
      <c r="AO96" s="32"/>
      <c r="AP96" s="32"/>
      <c r="AQ96" s="32"/>
    </row>
    <row r="97" spans="1:43" ht="15.75" customHeight="1">
      <c r="A97" s="441" t="s">
        <v>3868</v>
      </c>
      <c r="B97" s="32" t="s">
        <v>43</v>
      </c>
      <c r="C97" s="246" t="s">
        <v>841</v>
      </c>
      <c r="D97" s="232"/>
      <c r="E97" s="58"/>
      <c r="F97" s="16" t="s">
        <v>842</v>
      </c>
      <c r="G97" s="32"/>
      <c r="H97" s="48" t="s">
        <v>843</v>
      </c>
      <c r="I97" s="43" t="s">
        <v>844</v>
      </c>
      <c r="J97" s="82"/>
      <c r="K97" s="82"/>
      <c r="L97" s="22" t="s">
        <v>845</v>
      </c>
      <c r="M97" s="125" t="s">
        <v>846</v>
      </c>
      <c r="N97" s="54" t="s">
        <v>847</v>
      </c>
      <c r="O97" s="54"/>
      <c r="P97" s="55"/>
      <c r="Q97" s="56"/>
      <c r="R97" s="305" t="s">
        <v>40</v>
      </c>
      <c r="S97" s="32" t="s">
        <v>41</v>
      </c>
      <c r="T97" s="21"/>
      <c r="U97" s="28"/>
      <c r="V97" s="28"/>
      <c r="W97" s="29"/>
      <c r="X97" s="29"/>
      <c r="Y97" s="30"/>
      <c r="Z97" s="30"/>
      <c r="AA97" s="30"/>
      <c r="AB97" s="41"/>
      <c r="AC97" s="32"/>
      <c r="AD97" s="32"/>
      <c r="AE97" s="32"/>
      <c r="AF97" s="32"/>
      <c r="AG97" s="32"/>
      <c r="AH97" s="32"/>
      <c r="AI97" s="32"/>
      <c r="AJ97" s="32"/>
      <c r="AK97" s="32"/>
      <c r="AL97" s="32"/>
      <c r="AM97" s="32"/>
      <c r="AN97" s="32"/>
      <c r="AO97" s="32"/>
      <c r="AP97" s="32"/>
      <c r="AQ97" s="32"/>
    </row>
    <row r="98" spans="1:43" ht="15.75" customHeight="1">
      <c r="A98" s="441" t="s">
        <v>848</v>
      </c>
      <c r="B98" s="32" t="s">
        <v>43</v>
      </c>
      <c r="C98" s="247" t="s">
        <v>170</v>
      </c>
      <c r="D98" s="232"/>
      <c r="E98" s="58"/>
      <c r="F98" s="16" t="s">
        <v>849</v>
      </c>
      <c r="G98" s="32"/>
      <c r="H98" s="32" t="s">
        <v>850</v>
      </c>
      <c r="I98" s="43" t="s">
        <v>851</v>
      </c>
      <c r="J98" s="35"/>
      <c r="K98" s="22"/>
      <c r="L98" s="22" t="s">
        <v>852</v>
      </c>
      <c r="M98" s="53" t="s">
        <v>853</v>
      </c>
      <c r="N98" s="54" t="s">
        <v>37</v>
      </c>
      <c r="O98" s="54"/>
      <c r="P98" s="55"/>
      <c r="Q98" s="56"/>
      <c r="R98" s="296" t="s">
        <v>370</v>
      </c>
      <c r="S98" s="32" t="s">
        <v>41</v>
      </c>
      <c r="T98" s="21"/>
      <c r="U98" s="28"/>
      <c r="V98" s="28"/>
      <c r="W98" s="29"/>
      <c r="X98" s="29"/>
      <c r="Y98" s="30"/>
      <c r="Z98" s="30"/>
      <c r="AA98" s="30"/>
      <c r="AB98" s="41"/>
      <c r="AC98" s="32"/>
      <c r="AD98" s="32"/>
      <c r="AE98" s="32"/>
      <c r="AF98" s="32"/>
      <c r="AG98" s="32"/>
      <c r="AH98" s="32"/>
      <c r="AI98" s="32"/>
      <c r="AJ98" s="32"/>
      <c r="AK98" s="32"/>
      <c r="AL98" s="32"/>
      <c r="AM98" s="32"/>
      <c r="AN98" s="32"/>
      <c r="AO98" s="32"/>
      <c r="AP98" s="32"/>
      <c r="AQ98" s="32"/>
    </row>
    <row r="99" spans="1:43" ht="15.75" customHeight="1">
      <c r="A99" s="441" t="s">
        <v>854</v>
      </c>
      <c r="B99" s="14" t="s">
        <v>43</v>
      </c>
      <c r="C99" s="247" t="s">
        <v>170</v>
      </c>
      <c r="D99" s="231" t="s">
        <v>855</v>
      </c>
      <c r="E99" s="58"/>
      <c r="F99" s="16" t="s">
        <v>856</v>
      </c>
      <c r="G99" s="32" t="s">
        <v>857</v>
      </c>
      <c r="H99" s="40" t="s">
        <v>858</v>
      </c>
      <c r="I99" s="43" t="s">
        <v>118</v>
      </c>
      <c r="J99" s="82"/>
      <c r="K99" s="82"/>
      <c r="L99" s="22"/>
      <c r="M99" s="53" t="s">
        <v>91</v>
      </c>
      <c r="N99" s="54" t="s">
        <v>859</v>
      </c>
      <c r="O99" s="54"/>
      <c r="P99" s="55"/>
      <c r="Q99" s="56"/>
      <c r="R99" s="39" t="s">
        <v>49</v>
      </c>
      <c r="S99" s="32" t="s">
        <v>41</v>
      </c>
      <c r="T99" s="21"/>
      <c r="U99" s="28"/>
      <c r="V99" s="28"/>
      <c r="W99" s="29"/>
      <c r="X99" s="29"/>
      <c r="Y99" s="30"/>
      <c r="Z99" s="30"/>
      <c r="AA99" s="30"/>
      <c r="AB99" s="41"/>
      <c r="AC99" s="32"/>
      <c r="AD99" s="32"/>
      <c r="AE99" s="32"/>
      <c r="AF99" s="32"/>
      <c r="AG99" s="32"/>
      <c r="AH99" s="32"/>
      <c r="AI99" s="32"/>
      <c r="AJ99" s="32"/>
      <c r="AK99" s="32"/>
      <c r="AL99" s="32"/>
      <c r="AM99" s="32"/>
      <c r="AN99" s="32"/>
      <c r="AO99" s="32"/>
      <c r="AP99" s="32"/>
      <c r="AQ99" s="32"/>
    </row>
    <row r="100" spans="1:43" ht="15.75" customHeight="1">
      <c r="A100" s="441" t="s">
        <v>3867</v>
      </c>
      <c r="B100" s="32" t="s">
        <v>860</v>
      </c>
      <c r="C100" s="246" t="s">
        <v>861</v>
      </c>
      <c r="D100" s="232"/>
      <c r="E100" s="58"/>
      <c r="F100" s="47" t="s">
        <v>862</v>
      </c>
      <c r="G100" s="32"/>
      <c r="H100" s="48" t="s">
        <v>863</v>
      </c>
      <c r="I100" s="43" t="s">
        <v>864</v>
      </c>
      <c r="J100" s="35"/>
      <c r="K100" s="22" t="s">
        <v>865</v>
      </c>
      <c r="L100" s="22"/>
      <c r="M100" s="53" t="s">
        <v>866</v>
      </c>
      <c r="N100" s="54" t="s">
        <v>867</v>
      </c>
      <c r="O100" s="54"/>
      <c r="P100" s="55"/>
      <c r="Q100" s="56"/>
      <c r="R100" s="296" t="s">
        <v>370</v>
      </c>
      <c r="S100" s="32" t="s">
        <v>41</v>
      </c>
      <c r="T100" s="21"/>
      <c r="U100" s="28"/>
      <c r="V100" s="28"/>
      <c r="W100" s="29" t="s">
        <v>868</v>
      </c>
      <c r="X100" s="139" t="s">
        <v>869</v>
      </c>
      <c r="Y100" s="30" t="s">
        <v>83</v>
      </c>
      <c r="Z100" s="30"/>
      <c r="AA100" s="30"/>
      <c r="AB100" s="31" t="s">
        <v>870</v>
      </c>
      <c r="AC100" s="32" t="s">
        <v>871</v>
      </c>
      <c r="AD100" s="32"/>
      <c r="AE100" s="32"/>
      <c r="AF100" s="32"/>
      <c r="AG100" s="32"/>
      <c r="AH100" s="32"/>
      <c r="AI100" s="32"/>
      <c r="AJ100" s="32"/>
      <c r="AK100" s="32"/>
      <c r="AL100" s="32"/>
      <c r="AM100" s="32"/>
      <c r="AN100" s="32"/>
      <c r="AO100" s="32"/>
      <c r="AP100" s="32"/>
      <c r="AQ100" s="32"/>
    </row>
    <row r="101" spans="1:43" ht="15.75" customHeight="1">
      <c r="A101" s="441" t="s">
        <v>872</v>
      </c>
      <c r="B101" s="14" t="s">
        <v>43</v>
      </c>
      <c r="C101" s="248" t="s">
        <v>142</v>
      </c>
      <c r="D101" s="232"/>
      <c r="E101" s="58"/>
      <c r="F101" s="47" t="s">
        <v>873</v>
      </c>
      <c r="G101" s="32"/>
      <c r="H101" s="48" t="s">
        <v>874</v>
      </c>
      <c r="I101" s="43" t="s">
        <v>875</v>
      </c>
      <c r="J101" s="107" t="s">
        <v>876</v>
      </c>
      <c r="K101" s="107"/>
      <c r="L101" s="107" t="s">
        <v>877</v>
      </c>
      <c r="M101" s="53" t="s">
        <v>878</v>
      </c>
      <c r="N101" s="89" t="s">
        <v>879</v>
      </c>
      <c r="O101" s="73"/>
      <c r="P101" s="74"/>
      <c r="Q101" s="75"/>
      <c r="R101" s="96" t="s">
        <v>537</v>
      </c>
      <c r="S101" s="32" t="s">
        <v>41</v>
      </c>
      <c r="T101" s="21"/>
      <c r="U101" s="28"/>
      <c r="V101" s="28"/>
      <c r="W101" s="29"/>
      <c r="X101" s="29"/>
      <c r="Y101" s="30"/>
      <c r="Z101" s="30"/>
      <c r="AA101" s="30"/>
      <c r="AB101" s="41"/>
      <c r="AC101" s="32"/>
      <c r="AD101" s="32"/>
      <c r="AE101" s="32"/>
      <c r="AF101" s="32"/>
      <c r="AG101" s="32"/>
      <c r="AH101" s="32"/>
      <c r="AI101" s="32"/>
      <c r="AJ101" s="32"/>
      <c r="AK101" s="32"/>
      <c r="AL101" s="32"/>
      <c r="AM101" s="32"/>
      <c r="AN101" s="32"/>
      <c r="AO101" s="32"/>
      <c r="AP101" s="32"/>
      <c r="AQ101" s="32"/>
    </row>
    <row r="102" spans="1:43" ht="15.75" customHeight="1">
      <c r="A102" s="441" t="s">
        <v>3967</v>
      </c>
      <c r="B102" s="32" t="s">
        <v>880</v>
      </c>
      <c r="C102" s="246" t="s">
        <v>855</v>
      </c>
      <c r="D102" s="232"/>
      <c r="E102" s="58"/>
      <c r="F102" s="16" t="s">
        <v>881</v>
      </c>
      <c r="G102" s="32" t="s">
        <v>882</v>
      </c>
      <c r="H102" s="40" t="s">
        <v>883</v>
      </c>
      <c r="I102" s="43" t="s">
        <v>118</v>
      </c>
      <c r="J102" s="22"/>
      <c r="K102" s="22"/>
      <c r="L102" s="22"/>
      <c r="M102" s="53" t="s">
        <v>91</v>
      </c>
      <c r="N102" s="54" t="s">
        <v>884</v>
      </c>
      <c r="O102" s="54"/>
      <c r="P102" s="55"/>
      <c r="Q102" s="56"/>
      <c r="R102" s="39" t="s">
        <v>49</v>
      </c>
      <c r="S102" s="32" t="s">
        <v>41</v>
      </c>
      <c r="T102" s="21"/>
      <c r="U102" s="28"/>
      <c r="V102" s="28"/>
      <c r="W102" s="29"/>
      <c r="X102" s="29"/>
      <c r="Y102" s="30"/>
      <c r="Z102" s="30"/>
      <c r="AA102" s="30"/>
      <c r="AB102" s="41"/>
      <c r="AC102" s="32"/>
      <c r="AD102" s="32"/>
      <c r="AE102" s="32"/>
      <c r="AF102" s="32"/>
      <c r="AG102" s="32"/>
      <c r="AH102" s="32"/>
      <c r="AI102" s="32"/>
      <c r="AJ102" s="32"/>
      <c r="AK102" s="32"/>
      <c r="AL102" s="32"/>
      <c r="AM102" s="32"/>
      <c r="AN102" s="32"/>
      <c r="AO102" s="32"/>
      <c r="AP102" s="32"/>
      <c r="AQ102" s="32"/>
    </row>
    <row r="103" spans="1:43" ht="15.75" customHeight="1">
      <c r="A103" s="441" t="s">
        <v>885</v>
      </c>
      <c r="B103" s="32" t="s">
        <v>466</v>
      </c>
      <c r="C103" s="247" t="s">
        <v>170</v>
      </c>
      <c r="D103" s="232"/>
      <c r="E103" s="58"/>
      <c r="F103" s="32" t="s">
        <v>171</v>
      </c>
      <c r="G103" s="32"/>
      <c r="H103" s="48" t="s">
        <v>886</v>
      </c>
      <c r="I103" s="43" t="s">
        <v>887</v>
      </c>
      <c r="J103" s="82"/>
      <c r="K103" s="82"/>
      <c r="L103" s="82" t="s">
        <v>888</v>
      </c>
      <c r="M103" s="135" t="s">
        <v>889</v>
      </c>
      <c r="N103" s="62" t="s">
        <v>890</v>
      </c>
      <c r="O103" s="89" t="s">
        <v>891</v>
      </c>
      <c r="P103" s="63"/>
      <c r="Q103" s="64" t="s">
        <v>892</v>
      </c>
      <c r="R103" s="39" t="s">
        <v>517</v>
      </c>
      <c r="S103" s="32" t="s">
        <v>383</v>
      </c>
      <c r="T103" s="21" t="s">
        <v>538</v>
      </c>
      <c r="U103" s="28"/>
      <c r="V103" s="28"/>
      <c r="W103" s="29"/>
      <c r="X103" s="29"/>
      <c r="Y103" s="30" t="s">
        <v>893</v>
      </c>
      <c r="Z103" s="30" t="s">
        <v>894</v>
      </c>
      <c r="AA103" s="30" t="s">
        <v>895</v>
      </c>
      <c r="AB103" s="41"/>
      <c r="AC103" s="32"/>
      <c r="AD103" s="32"/>
      <c r="AE103" s="32"/>
      <c r="AF103" s="32"/>
      <c r="AG103" s="32"/>
      <c r="AH103" s="32"/>
      <c r="AI103" s="32"/>
      <c r="AJ103" s="32"/>
      <c r="AK103" s="32"/>
      <c r="AL103" s="32"/>
      <c r="AM103" s="32"/>
      <c r="AN103" s="32"/>
      <c r="AO103" s="32"/>
      <c r="AP103" s="32"/>
      <c r="AQ103" s="32"/>
    </row>
    <row r="104" spans="1:43" ht="15.75" customHeight="1">
      <c r="A104" s="441" t="s">
        <v>3866</v>
      </c>
      <c r="B104" s="32" t="s">
        <v>466</v>
      </c>
      <c r="C104" s="246" t="s">
        <v>896</v>
      </c>
      <c r="D104" s="232"/>
      <c r="E104" s="58"/>
      <c r="F104" s="32" t="s">
        <v>171</v>
      </c>
      <c r="G104" s="32" t="s">
        <v>897</v>
      </c>
      <c r="H104" s="32" t="s">
        <v>898</v>
      </c>
      <c r="I104" s="43" t="s">
        <v>899</v>
      </c>
      <c r="J104" s="35"/>
      <c r="K104" s="82"/>
      <c r="L104" s="82" t="s">
        <v>900</v>
      </c>
      <c r="M104" s="43" t="s">
        <v>901</v>
      </c>
      <c r="N104" s="38" t="s">
        <v>902</v>
      </c>
      <c r="O104" s="38"/>
      <c r="P104" s="25"/>
      <c r="Q104" s="26"/>
      <c r="R104" s="296" t="s">
        <v>370</v>
      </c>
      <c r="S104" s="32" t="s">
        <v>383</v>
      </c>
      <c r="T104" s="104" t="s">
        <v>903</v>
      </c>
      <c r="U104" s="105"/>
      <c r="V104" s="105"/>
      <c r="W104" s="29"/>
      <c r="X104" s="29"/>
      <c r="Y104" s="30"/>
      <c r="Z104" s="30"/>
      <c r="AA104" s="30"/>
      <c r="AB104" s="41"/>
      <c r="AC104" s="32"/>
      <c r="AD104" s="32"/>
      <c r="AE104" s="32"/>
      <c r="AF104" s="32"/>
      <c r="AG104" s="32"/>
      <c r="AH104" s="32"/>
      <c r="AI104" s="32"/>
      <c r="AJ104" s="32"/>
      <c r="AK104" s="32"/>
      <c r="AL104" s="32"/>
      <c r="AM104" s="32"/>
      <c r="AN104" s="32"/>
      <c r="AO104" s="32"/>
      <c r="AP104" s="32"/>
      <c r="AQ104" s="32"/>
    </row>
    <row r="105" spans="1:43" ht="15.75" customHeight="1">
      <c r="A105" s="441" t="s">
        <v>904</v>
      </c>
      <c r="B105" s="14" t="s">
        <v>43</v>
      </c>
      <c r="C105" s="247" t="s">
        <v>170</v>
      </c>
      <c r="D105" s="232"/>
      <c r="E105" s="58"/>
      <c r="F105" s="16" t="s">
        <v>905</v>
      </c>
      <c r="G105" s="32" t="s">
        <v>509</v>
      </c>
      <c r="H105" s="32" t="s">
        <v>906</v>
      </c>
      <c r="I105" s="53" t="s">
        <v>907</v>
      </c>
      <c r="J105" s="22"/>
      <c r="K105" s="22"/>
      <c r="L105" s="22" t="s">
        <v>908</v>
      </c>
      <c r="M105" s="43" t="s">
        <v>909</v>
      </c>
      <c r="N105" s="89" t="s">
        <v>910</v>
      </c>
      <c r="O105" s="89" t="s">
        <v>911</v>
      </c>
      <c r="P105" s="90"/>
      <c r="Q105" s="91" t="s">
        <v>912</v>
      </c>
      <c r="R105" s="39" t="s">
        <v>517</v>
      </c>
      <c r="S105" s="32" t="s">
        <v>41</v>
      </c>
      <c r="T105" s="21"/>
      <c r="U105" s="28"/>
      <c r="V105" s="28"/>
      <c r="W105" s="29"/>
      <c r="X105" s="29"/>
      <c r="Y105" s="30" t="s">
        <v>913</v>
      </c>
      <c r="Z105" s="30"/>
      <c r="AA105" s="30"/>
      <c r="AB105" s="41"/>
      <c r="AC105" s="32"/>
      <c r="AD105" s="32"/>
      <c r="AE105" s="32"/>
      <c r="AF105" s="32"/>
      <c r="AG105" s="32"/>
      <c r="AH105" s="32"/>
      <c r="AI105" s="32"/>
      <c r="AJ105" s="32"/>
      <c r="AK105" s="32"/>
      <c r="AL105" s="32"/>
      <c r="AM105" s="32"/>
      <c r="AN105" s="32"/>
      <c r="AO105" s="32"/>
      <c r="AP105" s="32"/>
      <c r="AQ105" s="32"/>
    </row>
    <row r="106" spans="1:43" ht="15.75" customHeight="1">
      <c r="A106" s="441" t="s">
        <v>914</v>
      </c>
      <c r="B106" s="14" t="s">
        <v>43</v>
      </c>
      <c r="C106" s="247" t="s">
        <v>170</v>
      </c>
      <c r="D106" s="232"/>
      <c r="E106" s="58"/>
      <c r="F106" s="16" t="s">
        <v>915</v>
      </c>
      <c r="G106" s="32" t="s">
        <v>916</v>
      </c>
      <c r="H106" s="32" t="s">
        <v>917</v>
      </c>
      <c r="I106" s="43" t="s">
        <v>118</v>
      </c>
      <c r="J106" s="22"/>
      <c r="K106" s="22"/>
      <c r="L106" s="22"/>
      <c r="M106" s="53" t="s">
        <v>91</v>
      </c>
      <c r="N106" s="38" t="s">
        <v>918</v>
      </c>
      <c r="O106" s="38"/>
      <c r="P106" s="25"/>
      <c r="Q106" s="26"/>
      <c r="R106" s="39" t="s">
        <v>49</v>
      </c>
      <c r="S106" s="32" t="s">
        <v>41</v>
      </c>
      <c r="T106" s="21"/>
      <c r="U106" s="28"/>
      <c r="V106" s="28"/>
      <c r="W106" s="29"/>
      <c r="X106" s="29"/>
      <c r="Y106" s="30"/>
      <c r="Z106" s="30"/>
      <c r="AA106" s="30"/>
      <c r="AB106" s="41"/>
      <c r="AC106" s="32"/>
      <c r="AD106" s="32"/>
      <c r="AE106" s="32"/>
      <c r="AF106" s="32"/>
      <c r="AG106" s="32"/>
      <c r="AH106" s="32"/>
      <c r="AI106" s="32"/>
      <c r="AJ106" s="32"/>
      <c r="AK106" s="32"/>
      <c r="AL106" s="32"/>
      <c r="AM106" s="32"/>
      <c r="AN106" s="32"/>
      <c r="AO106" s="32"/>
      <c r="AP106" s="32"/>
      <c r="AQ106" s="32"/>
    </row>
    <row r="107" spans="1:43" ht="15.75" customHeight="1">
      <c r="A107" s="441" t="s">
        <v>3865</v>
      </c>
      <c r="B107" s="32" t="s">
        <v>43</v>
      </c>
      <c r="C107" s="246" t="s">
        <v>919</v>
      </c>
      <c r="D107" s="232"/>
      <c r="E107" s="58"/>
      <c r="F107" s="16" t="s">
        <v>920</v>
      </c>
      <c r="G107" s="32"/>
      <c r="H107" s="32" t="s">
        <v>921</v>
      </c>
      <c r="I107" s="43" t="s">
        <v>922</v>
      </c>
      <c r="J107" s="22"/>
      <c r="K107" s="82"/>
      <c r="L107" s="82" t="s">
        <v>764</v>
      </c>
      <c r="M107" s="43" t="s">
        <v>923</v>
      </c>
      <c r="N107" s="89" t="s">
        <v>924</v>
      </c>
      <c r="O107" s="89" t="s">
        <v>925</v>
      </c>
      <c r="P107" s="90"/>
      <c r="Q107" s="91" t="s">
        <v>926</v>
      </c>
      <c r="R107" s="39" t="s">
        <v>927</v>
      </c>
      <c r="S107" s="32" t="s">
        <v>41</v>
      </c>
      <c r="T107" s="84"/>
      <c r="U107" s="85" t="s">
        <v>187</v>
      </c>
      <c r="V107" s="140" t="s">
        <v>188</v>
      </c>
      <c r="W107" s="29" t="s">
        <v>398</v>
      </c>
      <c r="X107" s="29" t="s">
        <v>477</v>
      </c>
      <c r="Y107" s="30" t="s">
        <v>928</v>
      </c>
      <c r="Z107" s="30"/>
      <c r="AA107" s="30"/>
      <c r="AB107" s="41"/>
      <c r="AC107" s="32" t="s">
        <v>929</v>
      </c>
      <c r="AD107" s="87"/>
      <c r="AE107" s="32"/>
      <c r="AF107" s="32"/>
      <c r="AG107" s="32"/>
      <c r="AH107" s="32"/>
      <c r="AI107" s="32"/>
      <c r="AJ107" s="32"/>
      <c r="AK107" s="32"/>
      <c r="AL107" s="32"/>
      <c r="AM107" s="32"/>
      <c r="AN107" s="32"/>
      <c r="AO107" s="32"/>
      <c r="AP107" s="32"/>
      <c r="AQ107" s="32"/>
    </row>
    <row r="108" spans="1:43" ht="15.75" customHeight="1">
      <c r="A108" s="441" t="s">
        <v>3864</v>
      </c>
      <c r="B108" s="32" t="s">
        <v>43</v>
      </c>
      <c r="C108" s="246" t="s">
        <v>919</v>
      </c>
      <c r="D108" s="232"/>
      <c r="E108" s="58"/>
      <c r="F108" s="47" t="s">
        <v>930</v>
      </c>
      <c r="G108" s="32"/>
      <c r="H108" s="32" t="s">
        <v>931</v>
      </c>
      <c r="I108" s="43" t="s">
        <v>932</v>
      </c>
      <c r="J108" s="22" t="s">
        <v>933</v>
      </c>
      <c r="K108" s="35"/>
      <c r="L108" s="35"/>
      <c r="M108" s="43" t="s">
        <v>934</v>
      </c>
      <c r="N108" s="38" t="s">
        <v>935</v>
      </c>
      <c r="O108" s="38"/>
      <c r="P108" s="25" t="s">
        <v>936</v>
      </c>
      <c r="Q108" s="26" t="s">
        <v>937</v>
      </c>
      <c r="R108" s="296" t="s">
        <v>938</v>
      </c>
      <c r="S108" s="95" t="s">
        <v>41</v>
      </c>
      <c r="T108" s="21"/>
      <c r="U108" s="28"/>
      <c r="V108" s="28"/>
      <c r="W108" s="29"/>
      <c r="X108" s="29"/>
      <c r="Y108" s="30"/>
      <c r="Z108" s="30"/>
      <c r="AA108" s="30"/>
      <c r="AB108" s="41"/>
      <c r="AC108" s="32"/>
      <c r="AD108" s="32"/>
      <c r="AE108" s="32"/>
      <c r="AF108" s="32"/>
      <c r="AG108" s="32"/>
      <c r="AH108" s="32"/>
      <c r="AI108" s="32"/>
      <c r="AJ108" s="32"/>
      <c r="AK108" s="32"/>
      <c r="AL108" s="32"/>
      <c r="AM108" s="32"/>
      <c r="AN108" s="32"/>
      <c r="AO108" s="32"/>
      <c r="AP108" s="32"/>
      <c r="AQ108" s="32"/>
    </row>
    <row r="109" spans="1:43" ht="15.75" customHeight="1">
      <c r="A109" s="441" t="s">
        <v>939</v>
      </c>
      <c r="B109" s="32" t="s">
        <v>43</v>
      </c>
      <c r="C109" s="250" t="s">
        <v>170</v>
      </c>
      <c r="D109" s="232"/>
      <c r="E109" s="58"/>
      <c r="F109" s="47" t="s">
        <v>940</v>
      </c>
      <c r="G109" s="32"/>
      <c r="H109" s="14" t="s">
        <v>941</v>
      </c>
      <c r="I109" s="43" t="s">
        <v>942</v>
      </c>
      <c r="J109" s="82"/>
      <c r="K109" s="82"/>
      <c r="L109" s="22"/>
      <c r="M109" s="43" t="s">
        <v>943</v>
      </c>
      <c r="N109" s="38" t="s">
        <v>944</v>
      </c>
      <c r="O109" s="294"/>
      <c r="P109" s="124"/>
      <c r="Q109" s="26"/>
      <c r="R109" s="305" t="s">
        <v>40</v>
      </c>
      <c r="S109" s="32" t="s">
        <v>41</v>
      </c>
      <c r="T109" s="21"/>
      <c r="U109" s="28"/>
      <c r="V109" s="28"/>
      <c r="W109" s="29"/>
      <c r="X109" s="29"/>
      <c r="Y109" s="30"/>
      <c r="Z109" s="30"/>
      <c r="AA109" s="30"/>
      <c r="AB109" s="41"/>
      <c r="AC109" s="32"/>
      <c r="AD109" s="21"/>
      <c r="AE109" s="32"/>
      <c r="AF109" s="32"/>
      <c r="AG109" s="32"/>
      <c r="AH109" s="32"/>
      <c r="AI109" s="32"/>
      <c r="AJ109" s="32"/>
      <c r="AK109" s="32"/>
      <c r="AL109" s="32"/>
      <c r="AM109" s="32"/>
      <c r="AN109" s="32"/>
      <c r="AO109" s="32"/>
      <c r="AP109" s="32"/>
      <c r="AQ109" s="32"/>
    </row>
    <row r="110" spans="1:43" ht="15.75" customHeight="1">
      <c r="A110" s="441" t="s">
        <v>945</v>
      </c>
      <c r="B110" s="14" t="s">
        <v>43</v>
      </c>
      <c r="C110" s="247" t="s">
        <v>170</v>
      </c>
      <c r="D110" s="232"/>
      <c r="E110" s="58"/>
      <c r="F110" s="265" t="s">
        <v>946</v>
      </c>
      <c r="G110" s="39"/>
      <c r="H110" s="48" t="s">
        <v>947</v>
      </c>
      <c r="I110" s="43" t="s">
        <v>948</v>
      </c>
      <c r="J110" s="35"/>
      <c r="K110" s="107"/>
      <c r="L110" s="107" t="s">
        <v>949</v>
      </c>
      <c r="M110" s="43" t="s">
        <v>950</v>
      </c>
      <c r="N110" s="38" t="s">
        <v>951</v>
      </c>
      <c r="O110" s="38" t="s">
        <v>106</v>
      </c>
      <c r="P110" s="74"/>
      <c r="Q110" s="26" t="s">
        <v>107</v>
      </c>
      <c r="R110" s="305" t="s">
        <v>40</v>
      </c>
      <c r="S110" s="32" t="s">
        <v>41</v>
      </c>
      <c r="T110" s="21"/>
      <c r="U110" s="28"/>
      <c r="V110" s="28"/>
      <c r="W110" s="72"/>
      <c r="X110" s="72"/>
      <c r="Y110" s="30"/>
      <c r="Z110" s="30"/>
      <c r="AA110" s="30"/>
      <c r="AB110" s="41"/>
      <c r="AC110" s="32"/>
      <c r="AD110" s="21"/>
      <c r="AE110" s="32"/>
      <c r="AF110" s="32"/>
      <c r="AG110" s="32"/>
      <c r="AH110" s="32"/>
      <c r="AI110" s="32"/>
      <c r="AJ110" s="32"/>
      <c r="AK110" s="32"/>
      <c r="AL110" s="32"/>
      <c r="AM110" s="32"/>
      <c r="AN110" s="32"/>
      <c r="AO110" s="32"/>
      <c r="AP110" s="32"/>
      <c r="AQ110" s="32"/>
    </row>
    <row r="111" spans="1:43" ht="15.75" customHeight="1">
      <c r="A111" s="441" t="s">
        <v>3863</v>
      </c>
      <c r="B111" s="32" t="s">
        <v>43</v>
      </c>
      <c r="C111" s="246" t="s">
        <v>952</v>
      </c>
      <c r="D111" s="232"/>
      <c r="E111" s="58"/>
      <c r="F111" s="16" t="s">
        <v>953</v>
      </c>
      <c r="G111" s="32"/>
      <c r="H111" s="32" t="s">
        <v>954</v>
      </c>
      <c r="I111" s="43" t="s">
        <v>955</v>
      </c>
      <c r="J111" s="22"/>
      <c r="K111" s="22"/>
      <c r="L111" s="22"/>
      <c r="M111" s="43" t="s">
        <v>251</v>
      </c>
      <c r="N111" s="38" t="s">
        <v>956</v>
      </c>
      <c r="O111" s="38"/>
      <c r="P111" s="25"/>
      <c r="Q111" s="26"/>
      <c r="R111" s="96" t="s">
        <v>79</v>
      </c>
      <c r="S111" s="32" t="s">
        <v>41</v>
      </c>
      <c r="T111" s="21" t="s">
        <v>957</v>
      </c>
      <c r="U111" s="28"/>
      <c r="V111" s="28"/>
      <c r="W111" s="29"/>
      <c r="X111" s="29"/>
      <c r="Y111" s="30"/>
      <c r="Z111" s="30"/>
      <c r="AA111" s="30"/>
      <c r="AB111" s="41"/>
      <c r="AC111" s="32"/>
      <c r="AD111" s="21"/>
      <c r="AE111" s="32"/>
      <c r="AF111" s="32"/>
      <c r="AG111" s="32"/>
      <c r="AH111" s="32"/>
      <c r="AI111" s="32"/>
      <c r="AJ111" s="32"/>
      <c r="AK111" s="32"/>
      <c r="AL111" s="32"/>
      <c r="AM111" s="32"/>
      <c r="AN111" s="32"/>
      <c r="AO111" s="32"/>
      <c r="AP111" s="32"/>
      <c r="AQ111" s="32"/>
    </row>
    <row r="112" spans="1:43" ht="15.75" customHeight="1">
      <c r="A112" s="442" t="s">
        <v>958</v>
      </c>
      <c r="B112" s="32" t="s">
        <v>959</v>
      </c>
      <c r="C112" s="246" t="s">
        <v>960</v>
      </c>
      <c r="D112" s="232"/>
      <c r="E112" s="58"/>
      <c r="F112" s="16" t="s">
        <v>961</v>
      </c>
      <c r="G112" s="32" t="s">
        <v>962</v>
      </c>
      <c r="H112" s="40" t="s">
        <v>963</v>
      </c>
      <c r="I112" s="43" t="s">
        <v>964</v>
      </c>
      <c r="J112" s="22"/>
      <c r="K112" s="22"/>
      <c r="L112" s="22"/>
      <c r="M112" s="53" t="s">
        <v>91</v>
      </c>
      <c r="N112" s="38" t="s">
        <v>965</v>
      </c>
      <c r="O112" s="38"/>
      <c r="P112" s="25"/>
      <c r="Q112" s="26"/>
      <c r="R112" s="39" t="s">
        <v>49</v>
      </c>
      <c r="S112" s="32" t="s">
        <v>41</v>
      </c>
      <c r="T112" s="21" t="s">
        <v>780</v>
      </c>
      <c r="U112" s="28"/>
      <c r="V112" s="28"/>
      <c r="W112" s="29"/>
      <c r="X112" s="29"/>
      <c r="Y112" s="30"/>
      <c r="Z112" s="30"/>
      <c r="AA112" s="30"/>
      <c r="AB112" s="41"/>
      <c r="AC112" s="32"/>
      <c r="AD112" s="21"/>
      <c r="AE112" s="32"/>
      <c r="AF112" s="32"/>
      <c r="AG112" s="32"/>
      <c r="AH112" s="32"/>
      <c r="AI112" s="32"/>
      <c r="AJ112" s="32"/>
      <c r="AK112" s="32"/>
      <c r="AL112" s="32"/>
      <c r="AM112" s="32"/>
      <c r="AN112" s="32"/>
      <c r="AO112" s="32"/>
      <c r="AP112" s="32"/>
      <c r="AQ112" s="32"/>
    </row>
    <row r="113" spans="1:43" ht="15.75" customHeight="1">
      <c r="A113" s="441" t="s">
        <v>966</v>
      </c>
      <c r="B113" s="32" t="s">
        <v>43</v>
      </c>
      <c r="C113" s="247" t="s">
        <v>170</v>
      </c>
      <c r="D113" s="232"/>
      <c r="E113" s="58"/>
      <c r="F113" s="16" t="s">
        <v>967</v>
      </c>
      <c r="G113" s="32"/>
      <c r="H113" s="95" t="s">
        <v>968</v>
      </c>
      <c r="I113" s="43" t="s">
        <v>969</v>
      </c>
      <c r="J113" s="22"/>
      <c r="K113" s="22"/>
      <c r="L113" s="22"/>
      <c r="M113" s="43" t="s">
        <v>970</v>
      </c>
      <c r="N113" s="89" t="s">
        <v>971</v>
      </c>
      <c r="O113" s="89" t="s">
        <v>972</v>
      </c>
      <c r="P113" s="90"/>
      <c r="Q113" s="91" t="s">
        <v>973</v>
      </c>
      <c r="R113" s="39" t="s">
        <v>517</v>
      </c>
      <c r="S113" s="32" t="s">
        <v>383</v>
      </c>
      <c r="T113" s="21" t="s">
        <v>974</v>
      </c>
      <c r="U113" s="28"/>
      <c r="V113" s="28"/>
      <c r="W113" s="29"/>
      <c r="X113" s="29"/>
      <c r="Y113" s="30" t="s">
        <v>975</v>
      </c>
      <c r="Z113" s="30" t="s">
        <v>976</v>
      </c>
      <c r="AA113" s="30" t="s">
        <v>977</v>
      </c>
      <c r="AB113" s="31"/>
      <c r="AC113" s="32"/>
      <c r="AD113" s="21"/>
      <c r="AE113" s="32"/>
      <c r="AF113" s="32"/>
      <c r="AG113" s="32"/>
      <c r="AH113" s="32"/>
      <c r="AI113" s="32"/>
      <c r="AJ113" s="32"/>
      <c r="AK113" s="32"/>
      <c r="AL113" s="32"/>
      <c r="AM113" s="32"/>
      <c r="AN113" s="32"/>
      <c r="AO113" s="32"/>
      <c r="AP113" s="32"/>
      <c r="AQ113" s="32"/>
    </row>
    <row r="114" spans="1:43" ht="15.75" customHeight="1">
      <c r="A114" s="441" t="s">
        <v>3966</v>
      </c>
      <c r="B114" s="32" t="s">
        <v>429</v>
      </c>
      <c r="C114" s="247" t="s">
        <v>170</v>
      </c>
      <c r="D114" s="232"/>
      <c r="E114" s="58"/>
      <c r="F114" s="47" t="s">
        <v>978</v>
      </c>
      <c r="G114" s="32"/>
      <c r="H114" s="48" t="s">
        <v>979</v>
      </c>
      <c r="I114" s="43" t="s">
        <v>980</v>
      </c>
      <c r="J114" s="82"/>
      <c r="K114" s="82"/>
      <c r="L114" s="82" t="s">
        <v>981</v>
      </c>
      <c r="M114" s="135" t="s">
        <v>535</v>
      </c>
      <c r="N114" s="89" t="s">
        <v>982</v>
      </c>
      <c r="O114" s="89" t="s">
        <v>983</v>
      </c>
      <c r="P114" s="90"/>
      <c r="Q114" s="91" t="s">
        <v>984</v>
      </c>
      <c r="R114" s="32" t="s">
        <v>517</v>
      </c>
      <c r="S114" s="32" t="s">
        <v>383</v>
      </c>
      <c r="T114" s="119" t="s">
        <v>985</v>
      </c>
      <c r="U114" s="120"/>
      <c r="V114" s="120"/>
      <c r="W114" s="111"/>
      <c r="X114" s="111"/>
      <c r="Y114" s="30"/>
      <c r="Z114" s="30" t="s">
        <v>986</v>
      </c>
      <c r="AA114" s="30" t="s">
        <v>987</v>
      </c>
      <c r="AB114" s="41"/>
      <c r="AC114" s="32"/>
      <c r="AD114" s="32"/>
      <c r="AE114" s="32"/>
      <c r="AF114" s="32"/>
      <c r="AG114" s="32"/>
      <c r="AH114" s="32"/>
      <c r="AI114" s="32"/>
      <c r="AJ114" s="32"/>
      <c r="AK114" s="32"/>
      <c r="AL114" s="32"/>
      <c r="AM114" s="32"/>
      <c r="AN114" s="32"/>
      <c r="AO114" s="32"/>
      <c r="AP114" s="32"/>
      <c r="AQ114" s="32"/>
    </row>
    <row r="115" spans="1:43" ht="15.75" customHeight="1">
      <c r="A115" s="441" t="s">
        <v>988</v>
      </c>
      <c r="B115" s="32" t="s">
        <v>989</v>
      </c>
      <c r="C115" s="247" t="s">
        <v>170</v>
      </c>
      <c r="D115" s="232"/>
      <c r="E115" s="58"/>
      <c r="F115" s="16" t="s">
        <v>990</v>
      </c>
      <c r="G115" s="32" t="s">
        <v>991</v>
      </c>
      <c r="H115" s="32" t="s">
        <v>992</v>
      </c>
      <c r="I115" s="43" t="s">
        <v>118</v>
      </c>
      <c r="J115" s="82"/>
      <c r="K115" s="82"/>
      <c r="L115" s="22"/>
      <c r="M115" s="53" t="s">
        <v>91</v>
      </c>
      <c r="N115" s="38" t="s">
        <v>993</v>
      </c>
      <c r="O115" s="38"/>
      <c r="P115" s="25"/>
      <c r="Q115" s="26"/>
      <c r="R115" s="39" t="s">
        <v>49</v>
      </c>
      <c r="S115" s="32" t="s">
        <v>383</v>
      </c>
      <c r="T115" s="119" t="s">
        <v>994</v>
      </c>
      <c r="U115" s="120"/>
      <c r="V115" s="120"/>
      <c r="W115" s="111"/>
      <c r="X115" s="111"/>
      <c r="Y115" s="30"/>
      <c r="Z115" s="30"/>
      <c r="AA115" s="30"/>
      <c r="AB115" s="41"/>
      <c r="AC115" s="32"/>
      <c r="AD115" s="32"/>
      <c r="AE115" s="32"/>
      <c r="AF115" s="32"/>
      <c r="AG115" s="32"/>
      <c r="AH115" s="32"/>
      <c r="AI115" s="32"/>
      <c r="AJ115" s="32"/>
      <c r="AK115" s="32"/>
      <c r="AL115" s="32"/>
      <c r="AM115" s="32"/>
      <c r="AN115" s="32"/>
      <c r="AO115" s="32"/>
      <c r="AP115" s="32"/>
      <c r="AQ115" s="32"/>
    </row>
    <row r="116" spans="1:43" ht="15.75" customHeight="1">
      <c r="A116" s="441" t="s">
        <v>995</v>
      </c>
      <c r="B116" s="14" t="s">
        <v>996</v>
      </c>
      <c r="C116" s="247" t="s">
        <v>170</v>
      </c>
      <c r="D116" s="232"/>
      <c r="E116" s="58"/>
      <c r="F116" s="16" t="s">
        <v>997</v>
      </c>
      <c r="G116" s="32"/>
      <c r="H116" s="32" t="s">
        <v>998</v>
      </c>
      <c r="I116" s="43" t="s">
        <v>999</v>
      </c>
      <c r="J116" s="22" t="s">
        <v>1000</v>
      </c>
      <c r="K116" s="22"/>
      <c r="L116" s="22"/>
      <c r="M116" s="43" t="s">
        <v>1001</v>
      </c>
      <c r="N116" s="38" t="s">
        <v>1002</v>
      </c>
      <c r="O116" s="38"/>
      <c r="P116" s="25"/>
      <c r="Q116" s="26"/>
      <c r="R116" s="305" t="s">
        <v>40</v>
      </c>
      <c r="S116" s="32" t="s">
        <v>41</v>
      </c>
      <c r="T116" s="119"/>
      <c r="U116" s="120"/>
      <c r="V116" s="120"/>
      <c r="W116" s="111"/>
      <c r="X116" s="111"/>
      <c r="Y116" s="30"/>
      <c r="Z116" s="30"/>
      <c r="AA116" s="30"/>
      <c r="AB116" s="41"/>
      <c r="AC116" s="32"/>
      <c r="AD116" s="32"/>
      <c r="AE116" s="32"/>
      <c r="AF116" s="32"/>
      <c r="AG116" s="32"/>
      <c r="AH116" s="32"/>
      <c r="AI116" s="32"/>
      <c r="AJ116" s="32"/>
      <c r="AK116" s="32"/>
      <c r="AL116" s="32"/>
      <c r="AM116" s="32"/>
      <c r="AN116" s="32"/>
      <c r="AO116" s="32"/>
      <c r="AP116" s="32"/>
      <c r="AQ116" s="32"/>
    </row>
    <row r="117" spans="1:43" ht="15.75" customHeight="1">
      <c r="A117" s="441" t="s">
        <v>1003</v>
      </c>
      <c r="B117" s="14" t="s">
        <v>996</v>
      </c>
      <c r="C117" s="248" t="s">
        <v>142</v>
      </c>
      <c r="D117" s="232"/>
      <c r="E117" s="58"/>
      <c r="F117" s="16" t="s">
        <v>1004</v>
      </c>
      <c r="G117" s="32"/>
      <c r="H117" s="33" t="s">
        <v>1005</v>
      </c>
      <c r="I117" s="43" t="s">
        <v>1006</v>
      </c>
      <c r="J117" s="22"/>
      <c r="K117" s="22"/>
      <c r="L117" s="22" t="s">
        <v>1007</v>
      </c>
      <c r="M117" s="135" t="s">
        <v>649</v>
      </c>
      <c r="N117" s="89" t="s">
        <v>1008</v>
      </c>
      <c r="O117" s="89" t="s">
        <v>1009</v>
      </c>
      <c r="P117" s="90"/>
      <c r="Q117" s="91" t="s">
        <v>1010</v>
      </c>
      <c r="R117" s="39" t="s">
        <v>517</v>
      </c>
      <c r="S117" s="32" t="s">
        <v>41</v>
      </c>
      <c r="T117" s="119"/>
      <c r="U117" s="120"/>
      <c r="V117" s="120"/>
      <c r="W117" s="111"/>
      <c r="X117" s="111"/>
      <c r="Y117" s="30"/>
      <c r="Z117" s="30" t="s">
        <v>1011</v>
      </c>
      <c r="AA117" s="30" t="s">
        <v>1012</v>
      </c>
      <c r="AB117" s="41"/>
      <c r="AC117" s="32"/>
      <c r="AD117" s="32"/>
      <c r="AE117" s="32"/>
      <c r="AF117" s="32"/>
      <c r="AG117" s="32"/>
      <c r="AH117" s="32"/>
      <c r="AI117" s="32"/>
      <c r="AJ117" s="32"/>
      <c r="AK117" s="32"/>
      <c r="AL117" s="32"/>
      <c r="AM117" s="32"/>
      <c r="AN117" s="32"/>
      <c r="AO117" s="32"/>
      <c r="AP117" s="32"/>
      <c r="AQ117" s="32"/>
    </row>
    <row r="118" spans="1:43" ht="15.75" customHeight="1">
      <c r="A118" s="454" t="s">
        <v>1013</v>
      </c>
      <c r="B118" s="14" t="s">
        <v>43</v>
      </c>
      <c r="C118" s="247" t="s">
        <v>170</v>
      </c>
      <c r="D118" s="232"/>
      <c r="E118" s="58"/>
      <c r="F118" s="16" t="s">
        <v>1014</v>
      </c>
      <c r="G118" s="32" t="s">
        <v>1015</v>
      </c>
      <c r="H118" s="21" t="s">
        <v>1016</v>
      </c>
      <c r="I118" s="43" t="s">
        <v>1017</v>
      </c>
      <c r="J118" s="82"/>
      <c r="K118" s="82"/>
      <c r="L118" s="22"/>
      <c r="M118" s="53" t="s">
        <v>1018</v>
      </c>
      <c r="N118" s="141" t="s">
        <v>1019</v>
      </c>
      <c r="O118" s="73" t="s">
        <v>1020</v>
      </c>
      <c r="P118" s="74" t="s">
        <v>1021</v>
      </c>
      <c r="Q118" s="75" t="s">
        <v>1022</v>
      </c>
      <c r="R118" s="94" t="s">
        <v>1023</v>
      </c>
      <c r="S118" s="32" t="s">
        <v>41</v>
      </c>
      <c r="T118" s="119"/>
      <c r="U118" s="120"/>
      <c r="V118" s="120"/>
      <c r="W118" s="60"/>
      <c r="X118" s="60"/>
      <c r="Y118" s="30"/>
      <c r="Z118" s="30"/>
      <c r="AA118" s="30"/>
      <c r="AB118" s="41"/>
      <c r="AC118" s="32" t="s">
        <v>1024</v>
      </c>
      <c r="AD118" s="32"/>
      <c r="AE118" s="32"/>
      <c r="AF118" s="32"/>
      <c r="AG118" s="32"/>
      <c r="AH118" s="32"/>
      <c r="AI118" s="32"/>
      <c r="AJ118" s="32"/>
      <c r="AK118" s="32"/>
      <c r="AL118" s="32"/>
      <c r="AM118" s="32"/>
      <c r="AN118" s="32"/>
      <c r="AO118" s="32"/>
      <c r="AP118" s="32"/>
      <c r="AQ118" s="32"/>
    </row>
    <row r="119" spans="1:43" ht="15.75" customHeight="1">
      <c r="A119" s="441" t="s">
        <v>3862</v>
      </c>
      <c r="B119" s="14" t="s">
        <v>43</v>
      </c>
      <c r="C119" s="246" t="s">
        <v>1025</v>
      </c>
      <c r="D119" s="232"/>
      <c r="E119" s="58"/>
      <c r="F119" s="16" t="s">
        <v>1026</v>
      </c>
      <c r="G119" s="32"/>
      <c r="H119" s="32" t="s">
        <v>3949</v>
      </c>
      <c r="I119" s="43" t="s">
        <v>1027</v>
      </c>
      <c r="J119" s="35"/>
      <c r="K119" s="22"/>
      <c r="L119" s="22" t="s">
        <v>1028</v>
      </c>
      <c r="M119" s="53" t="s">
        <v>1029</v>
      </c>
      <c r="N119" s="54" t="s">
        <v>1030</v>
      </c>
      <c r="O119" s="54"/>
      <c r="P119" s="55"/>
      <c r="Q119" s="56"/>
      <c r="R119" s="305" t="s">
        <v>40</v>
      </c>
      <c r="S119" s="32" t="s">
        <v>41</v>
      </c>
      <c r="T119" s="21"/>
      <c r="U119" s="28"/>
      <c r="V119" s="28"/>
      <c r="W119" s="29" t="s">
        <v>1031</v>
      </c>
      <c r="X119" s="139" t="s">
        <v>1032</v>
      </c>
      <c r="Y119" s="30" t="s">
        <v>1033</v>
      </c>
      <c r="Z119" s="30"/>
      <c r="AA119" s="30"/>
      <c r="AB119" s="41"/>
      <c r="AC119" s="32"/>
      <c r="AD119" s="32"/>
      <c r="AE119" s="32"/>
      <c r="AF119" s="32"/>
      <c r="AG119" s="32"/>
      <c r="AH119" s="32"/>
      <c r="AI119" s="32"/>
      <c r="AJ119" s="32"/>
      <c r="AK119" s="32"/>
      <c r="AL119" s="32"/>
      <c r="AM119" s="32"/>
      <c r="AN119" s="32"/>
      <c r="AO119" s="32"/>
      <c r="AP119" s="32"/>
      <c r="AQ119" s="32"/>
    </row>
    <row r="120" spans="1:43" ht="15.75" customHeight="1">
      <c r="A120" s="441" t="s">
        <v>1034</v>
      </c>
      <c r="B120" s="32" t="s">
        <v>1035</v>
      </c>
      <c r="C120" s="247" t="s">
        <v>170</v>
      </c>
      <c r="D120" s="232"/>
      <c r="E120" s="58"/>
      <c r="F120" s="16" t="s">
        <v>1036</v>
      </c>
      <c r="G120" s="32" t="s">
        <v>1037</v>
      </c>
      <c r="H120" s="32" t="s">
        <v>1038</v>
      </c>
      <c r="I120" s="43" t="s">
        <v>118</v>
      </c>
      <c r="J120" s="82"/>
      <c r="K120" s="82"/>
      <c r="L120" s="22"/>
      <c r="M120" s="53" t="s">
        <v>91</v>
      </c>
      <c r="N120" s="54" t="s">
        <v>1039</v>
      </c>
      <c r="O120" s="394"/>
      <c r="P120" s="112"/>
      <c r="Q120" s="56"/>
      <c r="R120" s="39" t="s">
        <v>49</v>
      </c>
      <c r="S120" s="32" t="s">
        <v>41</v>
      </c>
      <c r="T120" s="21"/>
      <c r="U120" s="28"/>
      <c r="V120" s="28"/>
      <c r="W120" s="29"/>
      <c r="X120" s="29"/>
      <c r="Y120" s="30"/>
      <c r="Z120" s="30"/>
      <c r="AA120" s="30"/>
      <c r="AB120" s="41"/>
      <c r="AC120" s="32"/>
      <c r="AD120" s="32"/>
      <c r="AE120" s="32"/>
      <c r="AF120" s="32"/>
      <c r="AG120" s="32"/>
      <c r="AH120" s="32"/>
      <c r="AI120" s="32"/>
      <c r="AJ120" s="32"/>
      <c r="AK120" s="32"/>
      <c r="AL120" s="32"/>
      <c r="AM120" s="32"/>
      <c r="AN120" s="32"/>
      <c r="AO120" s="32"/>
      <c r="AP120" s="32"/>
      <c r="AQ120" s="32"/>
    </row>
    <row r="121" spans="1:43" ht="15.75" customHeight="1">
      <c r="A121" s="441" t="s">
        <v>1040</v>
      </c>
      <c r="B121" s="14" t="s">
        <v>43</v>
      </c>
      <c r="C121" s="247" t="s">
        <v>170</v>
      </c>
      <c r="D121" s="232"/>
      <c r="E121" s="58"/>
      <c r="F121" s="47" t="s">
        <v>1041</v>
      </c>
      <c r="G121" s="32"/>
      <c r="H121" s="32" t="s">
        <v>1042</v>
      </c>
      <c r="I121" s="43" t="s">
        <v>1043</v>
      </c>
      <c r="J121" s="35"/>
      <c r="K121" s="82"/>
      <c r="L121" s="82" t="s">
        <v>852</v>
      </c>
      <c r="M121" s="53" t="s">
        <v>853</v>
      </c>
      <c r="N121" s="394" t="s">
        <v>37</v>
      </c>
      <c r="O121" s="394"/>
      <c r="P121" s="59" t="s">
        <v>1044</v>
      </c>
      <c r="Q121" s="121" t="s">
        <v>1045</v>
      </c>
      <c r="R121" s="296" t="s">
        <v>370</v>
      </c>
      <c r="S121" s="32" t="s">
        <v>41</v>
      </c>
      <c r="T121" s="21"/>
      <c r="U121" s="28"/>
      <c r="V121" s="28"/>
      <c r="W121" s="29"/>
      <c r="X121" s="29"/>
      <c r="Y121" s="30"/>
      <c r="Z121" s="30"/>
      <c r="AA121" s="30"/>
      <c r="AB121" s="41"/>
      <c r="AC121" s="32"/>
      <c r="AD121" s="32"/>
      <c r="AE121" s="32"/>
      <c r="AF121" s="32"/>
      <c r="AG121" s="32"/>
      <c r="AH121" s="32"/>
      <c r="AI121" s="32"/>
      <c r="AJ121" s="32"/>
      <c r="AK121" s="32"/>
      <c r="AL121" s="32"/>
      <c r="AM121" s="32"/>
      <c r="AN121" s="32"/>
      <c r="AO121" s="32"/>
      <c r="AP121" s="32"/>
      <c r="AQ121" s="32"/>
    </row>
    <row r="122" spans="1:43" ht="15.75" customHeight="1">
      <c r="A122" s="454" t="s">
        <v>3965</v>
      </c>
      <c r="B122" s="51" t="s">
        <v>43</v>
      </c>
      <c r="C122" s="247" t="s">
        <v>170</v>
      </c>
      <c r="D122" s="235"/>
      <c r="E122" s="58"/>
      <c r="F122" s="88" t="s">
        <v>1046</v>
      </c>
      <c r="G122" s="21" t="s">
        <v>1047</v>
      </c>
      <c r="H122" s="119" t="s">
        <v>1048</v>
      </c>
      <c r="I122" s="125" t="s">
        <v>1049</v>
      </c>
      <c r="J122" s="22" t="s">
        <v>1050</v>
      </c>
      <c r="K122" s="35"/>
      <c r="L122" s="35"/>
      <c r="M122" s="125" t="s">
        <v>1051</v>
      </c>
      <c r="N122" s="141" t="s">
        <v>1052</v>
      </c>
      <c r="O122" s="398"/>
      <c r="P122" s="59"/>
      <c r="Q122" s="75"/>
      <c r="R122" s="142" t="s">
        <v>1053</v>
      </c>
      <c r="S122" s="21" t="s">
        <v>41</v>
      </c>
      <c r="T122" s="21"/>
      <c r="U122" s="28" t="s">
        <v>1054</v>
      </c>
      <c r="V122" s="143" t="s">
        <v>1055</v>
      </c>
      <c r="W122" s="29"/>
      <c r="X122" s="29"/>
      <c r="Y122" s="30" t="s">
        <v>3953</v>
      </c>
      <c r="Z122" s="30"/>
      <c r="AA122" s="30"/>
      <c r="AB122" s="31" t="s">
        <v>1056</v>
      </c>
      <c r="AC122" s="144" t="s">
        <v>1057</v>
      </c>
      <c r="AD122" s="21"/>
      <c r="AE122" s="21"/>
      <c r="AF122" s="21"/>
      <c r="AG122" s="21"/>
      <c r="AH122" s="21"/>
      <c r="AI122" s="21"/>
      <c r="AJ122" s="21"/>
      <c r="AK122" s="21"/>
      <c r="AL122" s="21"/>
      <c r="AM122" s="21"/>
      <c r="AN122" s="21"/>
      <c r="AO122" s="21"/>
      <c r="AP122" s="21"/>
      <c r="AQ122" s="21"/>
    </row>
    <row r="123" spans="1:43" ht="15.75" customHeight="1">
      <c r="A123" s="441" t="s">
        <v>1058</v>
      </c>
      <c r="B123" s="33" t="s">
        <v>43</v>
      </c>
      <c r="C123" s="246" t="s">
        <v>1059</v>
      </c>
      <c r="D123" s="232"/>
      <c r="E123" s="58"/>
      <c r="F123" s="16" t="s">
        <v>1060</v>
      </c>
      <c r="G123" s="32"/>
      <c r="H123" s="48" t="s">
        <v>1061</v>
      </c>
      <c r="I123" s="43" t="s">
        <v>1062</v>
      </c>
      <c r="J123" s="22"/>
      <c r="K123" s="22"/>
      <c r="L123" s="22" t="s">
        <v>1063</v>
      </c>
      <c r="M123" s="53" t="s">
        <v>1064</v>
      </c>
      <c r="N123" s="134" t="s">
        <v>1065</v>
      </c>
      <c r="O123" s="134"/>
      <c r="P123" s="74" t="s">
        <v>1066</v>
      </c>
      <c r="Q123" s="56" t="s">
        <v>1067</v>
      </c>
      <c r="R123" s="296" t="s">
        <v>370</v>
      </c>
      <c r="S123" s="32" t="s">
        <v>41</v>
      </c>
      <c r="T123" s="119"/>
      <c r="U123" s="120"/>
      <c r="V123" s="120"/>
      <c r="W123" s="111"/>
      <c r="X123" s="111"/>
      <c r="Y123" s="30"/>
      <c r="Z123" s="30"/>
      <c r="AA123" s="30"/>
      <c r="AB123" s="41"/>
      <c r="AC123" s="32"/>
      <c r="AD123" s="32"/>
      <c r="AE123" s="32"/>
      <c r="AF123" s="32"/>
      <c r="AG123" s="32"/>
      <c r="AH123" s="32"/>
      <c r="AI123" s="32"/>
      <c r="AJ123" s="32"/>
      <c r="AK123" s="32"/>
      <c r="AL123" s="32"/>
      <c r="AM123" s="32"/>
      <c r="AN123" s="32"/>
      <c r="AO123" s="32"/>
      <c r="AP123" s="32"/>
      <c r="AQ123" s="32"/>
    </row>
    <row r="124" spans="1:43" ht="15.75" customHeight="1">
      <c r="A124" s="441" t="s">
        <v>1068</v>
      </c>
      <c r="B124" s="33" t="s">
        <v>43</v>
      </c>
      <c r="C124" s="247" t="s">
        <v>170</v>
      </c>
      <c r="D124" s="232"/>
      <c r="E124" s="58"/>
      <c r="F124" s="47" t="s">
        <v>1069</v>
      </c>
      <c r="G124" s="32" t="s">
        <v>1070</v>
      </c>
      <c r="H124" s="40" t="s">
        <v>1071</v>
      </c>
      <c r="I124" s="43" t="s">
        <v>118</v>
      </c>
      <c r="J124" s="22"/>
      <c r="K124" s="22"/>
      <c r="L124" s="22"/>
      <c r="M124" s="53" t="s">
        <v>91</v>
      </c>
      <c r="N124" s="54" t="s">
        <v>1072</v>
      </c>
      <c r="O124" s="54"/>
      <c r="P124" s="55"/>
      <c r="Q124" s="56"/>
      <c r="R124" s="39" t="s">
        <v>49</v>
      </c>
      <c r="S124" s="32" t="s">
        <v>383</v>
      </c>
      <c r="T124" s="119"/>
      <c r="U124" s="120"/>
      <c r="V124" s="120"/>
      <c r="W124" s="111"/>
      <c r="X124" s="111"/>
      <c r="Y124" s="30"/>
      <c r="Z124" s="30"/>
      <c r="AA124" s="30"/>
      <c r="AB124" s="41"/>
      <c r="AC124" s="32"/>
      <c r="AD124" s="32"/>
      <c r="AE124" s="32"/>
      <c r="AF124" s="32"/>
      <c r="AG124" s="32"/>
      <c r="AH124" s="32"/>
      <c r="AI124" s="32"/>
      <c r="AJ124" s="32"/>
      <c r="AK124" s="32"/>
      <c r="AL124" s="32"/>
      <c r="AM124" s="32"/>
      <c r="AN124" s="32"/>
      <c r="AO124" s="32"/>
      <c r="AP124" s="32"/>
      <c r="AQ124" s="32"/>
    </row>
    <row r="125" spans="1:43" ht="15.75" customHeight="1">
      <c r="A125" s="441" t="s">
        <v>1073</v>
      </c>
      <c r="B125" s="33" t="s">
        <v>43</v>
      </c>
      <c r="C125" s="248" t="s">
        <v>142</v>
      </c>
      <c r="D125" s="231" t="s">
        <v>1074</v>
      </c>
      <c r="E125" s="58" t="s">
        <v>1075</v>
      </c>
      <c r="F125" s="16" t="s">
        <v>1076</v>
      </c>
      <c r="G125" s="32"/>
      <c r="H125" s="48" t="s">
        <v>1077</v>
      </c>
      <c r="I125" s="43" t="s">
        <v>1078</v>
      </c>
      <c r="J125" s="22"/>
      <c r="K125" s="22"/>
      <c r="L125" s="22" t="s">
        <v>35</v>
      </c>
      <c r="M125" s="43" t="s">
        <v>1079</v>
      </c>
      <c r="N125" s="73" t="s">
        <v>1080</v>
      </c>
      <c r="O125" s="73" t="s">
        <v>1081</v>
      </c>
      <c r="P125" s="74"/>
      <c r="Q125" s="75" t="s">
        <v>1082</v>
      </c>
      <c r="R125" s="39" t="s">
        <v>1083</v>
      </c>
      <c r="S125" s="32" t="s">
        <v>41</v>
      </c>
      <c r="T125" s="119"/>
      <c r="U125" s="120" t="s">
        <v>1084</v>
      </c>
      <c r="V125" s="122" t="s">
        <v>1085</v>
      </c>
      <c r="W125" s="111" t="s">
        <v>1084</v>
      </c>
      <c r="X125" s="130" t="s">
        <v>1086</v>
      </c>
      <c r="Y125" s="30" t="s">
        <v>83</v>
      </c>
      <c r="Z125" s="30"/>
      <c r="AA125" s="30"/>
      <c r="AB125" s="41"/>
      <c r="AC125" s="48" t="s">
        <v>1087</v>
      </c>
      <c r="AD125" s="21"/>
      <c r="AE125" s="32"/>
      <c r="AF125" s="32"/>
      <c r="AG125" s="32"/>
      <c r="AH125" s="32"/>
      <c r="AI125" s="32"/>
      <c r="AJ125" s="32"/>
      <c r="AK125" s="32"/>
      <c r="AL125" s="32"/>
      <c r="AM125" s="32"/>
      <c r="AN125" s="32"/>
      <c r="AO125" s="32"/>
      <c r="AP125" s="32"/>
      <c r="AQ125" s="32"/>
    </row>
    <row r="126" spans="1:43" ht="15.75" customHeight="1">
      <c r="A126" s="441" t="s">
        <v>1088</v>
      </c>
      <c r="B126" s="14" t="s">
        <v>43</v>
      </c>
      <c r="C126" s="247" t="s">
        <v>170</v>
      </c>
      <c r="D126" s="232"/>
      <c r="E126" s="58"/>
      <c r="F126" s="32" t="s">
        <v>1089</v>
      </c>
      <c r="G126" s="32" t="s">
        <v>1090</v>
      </c>
      <c r="H126" s="48" t="s">
        <v>1091</v>
      </c>
      <c r="I126" s="43" t="s">
        <v>1092</v>
      </c>
      <c r="J126" s="22"/>
      <c r="K126" s="22"/>
      <c r="L126" s="22"/>
      <c r="M126" s="309" t="s">
        <v>1093</v>
      </c>
      <c r="N126" s="65" t="s">
        <v>1094</v>
      </c>
      <c r="O126" s="38"/>
      <c r="P126" s="25"/>
      <c r="Q126" s="26"/>
      <c r="R126" s="94" t="s">
        <v>1095</v>
      </c>
      <c r="S126" s="32" t="s">
        <v>41</v>
      </c>
      <c r="T126" s="119"/>
      <c r="U126" s="120"/>
      <c r="V126" s="120"/>
      <c r="W126" s="111"/>
      <c r="X126" s="111"/>
      <c r="Y126" s="30"/>
      <c r="Z126" s="30"/>
      <c r="AA126" s="30"/>
      <c r="AB126" s="41"/>
      <c r="AC126" s="32"/>
      <c r="AD126" s="21"/>
      <c r="AE126" s="32"/>
      <c r="AF126" s="32"/>
      <c r="AG126" s="32"/>
      <c r="AH126" s="32"/>
      <c r="AI126" s="32"/>
      <c r="AJ126" s="32"/>
      <c r="AK126" s="32"/>
      <c r="AL126" s="32"/>
      <c r="AM126" s="32"/>
      <c r="AN126" s="32"/>
      <c r="AO126" s="32"/>
      <c r="AP126" s="32"/>
      <c r="AQ126" s="32"/>
    </row>
    <row r="127" spans="1:43" ht="15.75" customHeight="1">
      <c r="A127" s="454" t="s">
        <v>1096</v>
      </c>
      <c r="B127" s="359" t="s">
        <v>1097</v>
      </c>
      <c r="C127" s="247" t="s">
        <v>170</v>
      </c>
      <c r="D127" s="235"/>
      <c r="E127" s="58"/>
      <c r="F127" s="32" t="s">
        <v>1089</v>
      </c>
      <c r="G127" s="21"/>
      <c r="H127" s="119" t="s">
        <v>1098</v>
      </c>
      <c r="I127" s="125" t="s">
        <v>1099</v>
      </c>
      <c r="J127" s="22"/>
      <c r="K127" s="22"/>
      <c r="L127" s="22"/>
      <c r="M127" s="303" t="s">
        <v>649</v>
      </c>
      <c r="N127" s="65" t="s">
        <v>1100</v>
      </c>
      <c r="O127" s="65" t="s">
        <v>106</v>
      </c>
      <c r="P127" s="25"/>
      <c r="Q127" s="26" t="s">
        <v>1101</v>
      </c>
      <c r="R127" s="39" t="s">
        <v>517</v>
      </c>
      <c r="S127" s="21" t="s">
        <v>41</v>
      </c>
      <c r="T127" s="119" t="s">
        <v>1102</v>
      </c>
      <c r="U127" s="120"/>
      <c r="V127" s="120"/>
      <c r="W127" s="111"/>
      <c r="X127" s="111"/>
      <c r="Y127" s="30" t="s">
        <v>1103</v>
      </c>
      <c r="Z127" s="30" t="s">
        <v>1104</v>
      </c>
      <c r="AA127" s="30" t="s">
        <v>1105</v>
      </c>
      <c r="AB127" s="41"/>
      <c r="AC127" s="21"/>
      <c r="AD127" s="21"/>
      <c r="AE127" s="21"/>
      <c r="AF127" s="21"/>
      <c r="AG127" s="21"/>
      <c r="AH127" s="21"/>
      <c r="AI127" s="21"/>
      <c r="AJ127" s="21"/>
      <c r="AK127" s="21"/>
      <c r="AL127" s="21"/>
      <c r="AM127" s="21"/>
      <c r="AN127" s="21"/>
      <c r="AO127" s="21"/>
      <c r="AP127" s="21"/>
      <c r="AQ127" s="21"/>
    </row>
    <row r="128" spans="1:43" ht="70.5" customHeight="1">
      <c r="A128" s="441" t="s">
        <v>1106</v>
      </c>
      <c r="B128" s="145" t="s">
        <v>1107</v>
      </c>
      <c r="C128" s="252" t="s">
        <v>170</v>
      </c>
      <c r="D128" s="232"/>
      <c r="E128" s="58"/>
      <c r="F128" s="32" t="s">
        <v>1089</v>
      </c>
      <c r="G128" s="32" t="s">
        <v>1108</v>
      </c>
      <c r="H128" s="40" t="s">
        <v>1109</v>
      </c>
      <c r="I128" s="43" t="s">
        <v>118</v>
      </c>
      <c r="J128" s="22"/>
      <c r="K128" s="22"/>
      <c r="L128" s="22"/>
      <c r="M128" s="126" t="s">
        <v>91</v>
      </c>
      <c r="N128" s="38" t="s">
        <v>1110</v>
      </c>
      <c r="O128" s="294"/>
      <c r="P128" s="124"/>
      <c r="Q128" s="26"/>
      <c r="R128" s="39" t="s">
        <v>49</v>
      </c>
      <c r="S128" s="32" t="s">
        <v>41</v>
      </c>
      <c r="T128" s="119" t="s">
        <v>1111</v>
      </c>
      <c r="U128" s="120"/>
      <c r="V128" s="120"/>
      <c r="W128" s="111"/>
      <c r="X128" s="111"/>
      <c r="Y128" s="30"/>
      <c r="Z128" s="30"/>
      <c r="AA128" s="30"/>
      <c r="AB128" s="41"/>
      <c r="AC128" s="32"/>
      <c r="AD128" s="21"/>
      <c r="AE128" s="32"/>
      <c r="AF128" s="32"/>
      <c r="AG128" s="32"/>
      <c r="AH128" s="32"/>
      <c r="AI128" s="32"/>
      <c r="AJ128" s="32"/>
      <c r="AK128" s="32"/>
      <c r="AL128" s="32"/>
      <c r="AM128" s="32"/>
      <c r="AN128" s="32"/>
      <c r="AO128" s="32"/>
      <c r="AP128" s="32"/>
      <c r="AQ128" s="32"/>
    </row>
    <row r="129" spans="1:43" ht="15.75" customHeight="1">
      <c r="A129" s="454" t="s">
        <v>3861</v>
      </c>
      <c r="B129" s="32" t="s">
        <v>43</v>
      </c>
      <c r="C129" s="246" t="s">
        <v>1112</v>
      </c>
      <c r="D129" s="232"/>
      <c r="E129" s="58"/>
      <c r="F129" s="47" t="s">
        <v>1113</v>
      </c>
      <c r="G129" s="32" t="s">
        <v>1114</v>
      </c>
      <c r="H129" s="95" t="s">
        <v>1115</v>
      </c>
      <c r="I129" s="43" t="s">
        <v>1116</v>
      </c>
      <c r="J129" s="22"/>
      <c r="K129" s="22"/>
      <c r="L129" s="22"/>
      <c r="M129" s="39" t="s">
        <v>552</v>
      </c>
      <c r="N129" s="54" t="s">
        <v>1117</v>
      </c>
      <c r="O129" s="394"/>
      <c r="P129" s="59" t="s">
        <v>1118</v>
      </c>
      <c r="Q129" s="56" t="s">
        <v>1119</v>
      </c>
      <c r="R129" s="396" t="s">
        <v>1120</v>
      </c>
      <c r="S129" s="32" t="s">
        <v>41</v>
      </c>
      <c r="T129" s="21"/>
      <c r="U129" s="28"/>
      <c r="V129" s="28"/>
      <c r="W129" s="29"/>
      <c r="X129" s="29"/>
      <c r="Y129" s="30"/>
      <c r="Z129" s="30"/>
      <c r="AA129" s="30"/>
      <c r="AB129" s="41"/>
      <c r="AC129" s="32"/>
      <c r="AD129" s="21"/>
      <c r="AE129" s="32"/>
      <c r="AF129" s="32"/>
      <c r="AG129" s="32"/>
      <c r="AH129" s="32"/>
      <c r="AI129" s="32"/>
      <c r="AJ129" s="32"/>
      <c r="AK129" s="32"/>
      <c r="AL129" s="32"/>
      <c r="AM129" s="32"/>
      <c r="AN129" s="32"/>
      <c r="AO129" s="32"/>
      <c r="AP129" s="32"/>
      <c r="AQ129" s="32"/>
    </row>
    <row r="130" spans="1:43" s="288" customFormat="1" ht="15.75" customHeight="1">
      <c r="A130" s="441" t="s">
        <v>3860</v>
      </c>
      <c r="B130" s="14" t="s">
        <v>43</v>
      </c>
      <c r="C130" s="246" t="s">
        <v>1121</v>
      </c>
      <c r="D130" s="232"/>
      <c r="E130" s="58"/>
      <c r="F130" s="47" t="s">
        <v>1122</v>
      </c>
      <c r="G130" s="32"/>
      <c r="H130" s="95" t="s">
        <v>1123</v>
      </c>
      <c r="I130" s="43" t="s">
        <v>1124</v>
      </c>
      <c r="J130" s="22"/>
      <c r="K130" s="22"/>
      <c r="L130" s="22" t="s">
        <v>1125</v>
      </c>
      <c r="M130" s="385" t="s">
        <v>853</v>
      </c>
      <c r="N130" s="54" t="s">
        <v>37</v>
      </c>
      <c r="O130" s="394"/>
      <c r="P130" s="59" t="s">
        <v>1126</v>
      </c>
      <c r="Q130" s="56" t="s">
        <v>1127</v>
      </c>
      <c r="R130" s="296" t="s">
        <v>370</v>
      </c>
      <c r="S130" s="32" t="s">
        <v>41</v>
      </c>
      <c r="T130" s="21" t="s">
        <v>1128</v>
      </c>
      <c r="U130" s="28"/>
      <c r="V130" s="28"/>
      <c r="W130" s="29"/>
      <c r="X130" s="29"/>
      <c r="Y130" s="30"/>
      <c r="Z130" s="30"/>
      <c r="AA130" s="30"/>
      <c r="AB130" s="41"/>
      <c r="AC130" s="32"/>
      <c r="AD130" s="32"/>
      <c r="AE130" s="286"/>
      <c r="AF130" s="286"/>
      <c r="AG130" s="286"/>
      <c r="AH130" s="286"/>
      <c r="AI130" s="286"/>
      <c r="AJ130" s="286"/>
      <c r="AK130" s="286"/>
      <c r="AL130" s="286"/>
      <c r="AM130" s="286"/>
      <c r="AN130" s="286"/>
      <c r="AO130" s="286"/>
      <c r="AP130" s="286"/>
      <c r="AQ130" s="286"/>
    </row>
    <row r="131" spans="1:43" s="288" customFormat="1" ht="15.75" customHeight="1">
      <c r="A131" s="441" t="s">
        <v>3859</v>
      </c>
      <c r="B131" s="33" t="s">
        <v>43</v>
      </c>
      <c r="C131" s="257" t="s">
        <v>1129</v>
      </c>
      <c r="D131" s="232"/>
      <c r="E131" s="58"/>
      <c r="F131" s="16" t="s">
        <v>1130</v>
      </c>
      <c r="G131" s="32"/>
      <c r="H131" s="95" t="s">
        <v>1131</v>
      </c>
      <c r="I131" s="43" t="s">
        <v>1132</v>
      </c>
      <c r="J131" s="22"/>
      <c r="K131" s="22"/>
      <c r="L131" s="22"/>
      <c r="M131" s="36" t="s">
        <v>1133</v>
      </c>
      <c r="N131" s="38" t="s">
        <v>1134</v>
      </c>
      <c r="O131" s="38"/>
      <c r="P131" s="59" t="s">
        <v>106</v>
      </c>
      <c r="Q131" s="26" t="s">
        <v>107</v>
      </c>
      <c r="R131" s="96" t="s">
        <v>79</v>
      </c>
      <c r="S131" s="32" t="s">
        <v>41</v>
      </c>
      <c r="T131" s="119"/>
      <c r="U131" s="120" t="s">
        <v>1084</v>
      </c>
      <c r="V131" s="143" t="s">
        <v>1135</v>
      </c>
      <c r="W131" s="111" t="s">
        <v>1084</v>
      </c>
      <c r="X131" s="130" t="s">
        <v>1136</v>
      </c>
      <c r="Y131" s="30" t="s">
        <v>1137</v>
      </c>
      <c r="Z131" s="30"/>
      <c r="AA131" s="30"/>
      <c r="AB131" s="41"/>
      <c r="AC131" s="32"/>
      <c r="AD131" s="32"/>
      <c r="AE131" s="286"/>
      <c r="AF131" s="286"/>
      <c r="AG131" s="286"/>
      <c r="AH131" s="286"/>
      <c r="AI131" s="286"/>
      <c r="AJ131" s="286"/>
      <c r="AK131" s="286"/>
      <c r="AL131" s="286"/>
      <c r="AM131" s="286"/>
      <c r="AN131" s="286"/>
      <c r="AO131" s="286"/>
      <c r="AP131" s="286"/>
      <c r="AQ131" s="286"/>
    </row>
    <row r="132" spans="1:43" s="288" customFormat="1" ht="15.75" customHeight="1">
      <c r="A132" s="457" t="s">
        <v>1138</v>
      </c>
      <c r="B132" s="14" t="s">
        <v>43</v>
      </c>
      <c r="C132" s="247" t="s">
        <v>170</v>
      </c>
      <c r="D132" s="232"/>
      <c r="E132" s="58"/>
      <c r="F132" s="16" t="s">
        <v>1139</v>
      </c>
      <c r="G132" s="32" t="s">
        <v>172</v>
      </c>
      <c r="H132" s="40" t="s">
        <v>173</v>
      </c>
      <c r="I132" s="43" t="s">
        <v>1140</v>
      </c>
      <c r="J132" s="22"/>
      <c r="K132" s="22"/>
      <c r="L132" s="22"/>
      <c r="M132" s="95" t="s">
        <v>486</v>
      </c>
      <c r="N132" s="54" t="s">
        <v>723</v>
      </c>
      <c r="O132" s="54"/>
      <c r="P132" s="55"/>
      <c r="Q132" s="56"/>
      <c r="R132" s="96" t="s">
        <v>79</v>
      </c>
      <c r="S132" s="32" t="s">
        <v>41</v>
      </c>
      <c r="T132" s="21"/>
      <c r="U132" s="28"/>
      <c r="V132" s="28"/>
      <c r="W132" s="29"/>
      <c r="X132" s="29"/>
      <c r="Y132" s="30"/>
      <c r="Z132" s="30"/>
      <c r="AA132" s="30"/>
      <c r="AB132" s="41"/>
      <c r="AC132" s="32"/>
      <c r="AD132" s="32"/>
      <c r="AE132" s="286"/>
      <c r="AF132" s="286"/>
      <c r="AG132" s="286"/>
      <c r="AH132" s="286"/>
      <c r="AI132" s="286"/>
      <c r="AJ132" s="286"/>
      <c r="AK132" s="286"/>
      <c r="AL132" s="286"/>
      <c r="AM132" s="286"/>
      <c r="AN132" s="286"/>
      <c r="AO132" s="286"/>
      <c r="AP132" s="286"/>
      <c r="AQ132" s="286"/>
    </row>
    <row r="133" spans="1:43" s="288" customFormat="1" ht="15.75" customHeight="1">
      <c r="A133" s="457" t="s">
        <v>1141</v>
      </c>
      <c r="B133" s="14" t="s">
        <v>43</v>
      </c>
      <c r="C133" s="247" t="s">
        <v>170</v>
      </c>
      <c r="D133" s="232"/>
      <c r="E133" s="58"/>
      <c r="F133" s="16" t="s">
        <v>1142</v>
      </c>
      <c r="G133" s="32" t="s">
        <v>1143</v>
      </c>
      <c r="H133" s="48" t="s">
        <v>1144</v>
      </c>
      <c r="I133" s="43" t="s">
        <v>1145</v>
      </c>
      <c r="J133" s="22"/>
      <c r="K133" s="22"/>
      <c r="L133" s="22"/>
      <c r="M133" s="23" t="s">
        <v>1146</v>
      </c>
      <c r="N133" s="54" t="s">
        <v>1147</v>
      </c>
      <c r="O133" s="394"/>
      <c r="P133" s="112"/>
      <c r="Q133" s="56"/>
      <c r="R133" s="96" t="s">
        <v>79</v>
      </c>
      <c r="S133" s="32" t="s">
        <v>41</v>
      </c>
      <c r="T133" s="21"/>
      <c r="U133" s="28"/>
      <c r="V133" s="28"/>
      <c r="W133" s="29"/>
      <c r="X133" s="29"/>
      <c r="Y133" s="30"/>
      <c r="Z133" s="30"/>
      <c r="AA133" s="30"/>
      <c r="AB133" s="41"/>
      <c r="AC133" s="32"/>
      <c r="AD133" s="32"/>
      <c r="AE133" s="286"/>
      <c r="AF133" s="286"/>
      <c r="AG133" s="286"/>
      <c r="AH133" s="286"/>
      <c r="AI133" s="286"/>
      <c r="AJ133" s="286"/>
      <c r="AK133" s="286"/>
      <c r="AL133" s="286"/>
      <c r="AM133" s="286"/>
      <c r="AN133" s="286"/>
      <c r="AO133" s="286"/>
      <c r="AP133" s="286"/>
      <c r="AQ133" s="286"/>
    </row>
    <row r="134" spans="1:43" s="288" customFormat="1" ht="15.75" customHeight="1">
      <c r="A134" s="457" t="s">
        <v>1148</v>
      </c>
      <c r="B134" s="14" t="s">
        <v>43</v>
      </c>
      <c r="C134" s="247" t="s">
        <v>170</v>
      </c>
      <c r="D134" s="231" t="s">
        <v>1149</v>
      </c>
      <c r="E134" s="18"/>
      <c r="F134" s="17" t="s">
        <v>1089</v>
      </c>
      <c r="G134" s="17"/>
      <c r="H134" s="48" t="s">
        <v>1150</v>
      </c>
      <c r="I134" s="43" t="s">
        <v>1151</v>
      </c>
      <c r="J134" s="22"/>
      <c r="K134" s="22"/>
      <c r="L134" s="22" t="s">
        <v>1152</v>
      </c>
      <c r="M134" s="53" t="s">
        <v>853</v>
      </c>
      <c r="N134" s="38" t="s">
        <v>1153</v>
      </c>
      <c r="O134" s="38"/>
      <c r="P134" s="74" t="s">
        <v>1021</v>
      </c>
      <c r="Q134" s="26" t="s">
        <v>1154</v>
      </c>
      <c r="R134" s="296" t="s">
        <v>370</v>
      </c>
      <c r="S134" s="32" t="s">
        <v>41</v>
      </c>
      <c r="T134" s="21"/>
      <c r="U134" s="28"/>
      <c r="V134" s="28"/>
      <c r="W134" s="29"/>
      <c r="X134" s="72"/>
      <c r="Y134" s="30"/>
      <c r="Z134" s="30"/>
      <c r="AA134" s="30"/>
      <c r="AB134" s="41"/>
      <c r="AC134" s="32"/>
      <c r="AD134" s="32"/>
      <c r="AE134" s="286"/>
      <c r="AF134" s="286"/>
      <c r="AG134" s="286"/>
      <c r="AH134" s="286"/>
      <c r="AI134" s="286"/>
      <c r="AJ134" s="286"/>
      <c r="AK134" s="286"/>
      <c r="AL134" s="286"/>
      <c r="AM134" s="286"/>
      <c r="AN134" s="286"/>
      <c r="AO134" s="286"/>
      <c r="AP134" s="286"/>
      <c r="AQ134" s="286"/>
    </row>
    <row r="135" spans="1:43" ht="15.75" customHeight="1">
      <c r="A135" s="457" t="s">
        <v>1155</v>
      </c>
      <c r="B135" s="14" t="s">
        <v>43</v>
      </c>
      <c r="C135" s="247" t="s">
        <v>170</v>
      </c>
      <c r="D135" s="232"/>
      <c r="E135" s="58"/>
      <c r="F135" s="17" t="s">
        <v>1089</v>
      </c>
      <c r="G135" s="32"/>
      <c r="H135" s="95" t="s">
        <v>1156</v>
      </c>
      <c r="I135" s="43" t="s">
        <v>1006</v>
      </c>
      <c r="J135" s="22"/>
      <c r="K135" s="22"/>
      <c r="L135" s="22" t="s">
        <v>1157</v>
      </c>
      <c r="M135" s="53" t="s">
        <v>1158</v>
      </c>
      <c r="N135" s="73" t="s">
        <v>1159</v>
      </c>
      <c r="O135" s="73" t="s">
        <v>38</v>
      </c>
      <c r="P135" s="74"/>
      <c r="Q135" s="75" t="s">
        <v>1160</v>
      </c>
      <c r="R135" s="39" t="s">
        <v>517</v>
      </c>
      <c r="S135" s="32" t="s">
        <v>383</v>
      </c>
      <c r="T135" s="21"/>
      <c r="U135" s="28"/>
      <c r="V135" s="28"/>
      <c r="W135" s="29" t="s">
        <v>1161</v>
      </c>
      <c r="X135" s="110"/>
      <c r="Y135" s="30" t="s">
        <v>1162</v>
      </c>
      <c r="Z135" s="30" t="s">
        <v>1163</v>
      </c>
      <c r="AA135" s="30" t="s">
        <v>1164</v>
      </c>
      <c r="AB135" s="31" t="s">
        <v>1165</v>
      </c>
      <c r="AC135" s="32"/>
      <c r="AD135" s="32"/>
      <c r="AE135" s="32"/>
      <c r="AF135" s="32"/>
      <c r="AG135" s="32"/>
      <c r="AH135" s="32"/>
      <c r="AI135" s="32"/>
      <c r="AJ135" s="32"/>
      <c r="AK135" s="32"/>
      <c r="AL135" s="32"/>
      <c r="AM135" s="32"/>
      <c r="AN135" s="32"/>
      <c r="AO135" s="32"/>
      <c r="AP135" s="32"/>
      <c r="AQ135" s="32"/>
    </row>
    <row r="136" spans="1:43" ht="15.75" customHeight="1">
      <c r="A136" s="457" t="s">
        <v>1166</v>
      </c>
      <c r="B136" s="32" t="s">
        <v>1167</v>
      </c>
      <c r="C136" s="247" t="s">
        <v>170</v>
      </c>
      <c r="D136" s="232"/>
      <c r="E136" s="58"/>
      <c r="F136" s="17" t="s">
        <v>1089</v>
      </c>
      <c r="G136" s="32" t="s">
        <v>1168</v>
      </c>
      <c r="H136" s="40" t="s">
        <v>1169</v>
      </c>
      <c r="I136" s="43" t="s">
        <v>118</v>
      </c>
      <c r="J136" s="82"/>
      <c r="K136" s="82"/>
      <c r="L136" s="22" t="s">
        <v>1170</v>
      </c>
      <c r="M136" s="53" t="s">
        <v>1171</v>
      </c>
      <c r="N136" s="54" t="s">
        <v>1172</v>
      </c>
      <c r="O136" s="54"/>
      <c r="P136" s="55"/>
      <c r="Q136" s="56"/>
      <c r="R136" s="39" t="s">
        <v>49</v>
      </c>
      <c r="S136" s="32" t="s">
        <v>41</v>
      </c>
      <c r="T136" s="21"/>
      <c r="U136" s="28"/>
      <c r="V136" s="28"/>
      <c r="W136" s="29"/>
      <c r="X136" s="29"/>
      <c r="Y136" s="30"/>
      <c r="Z136" s="30"/>
      <c r="AA136" s="30"/>
      <c r="AB136" s="41"/>
      <c r="AC136" s="32"/>
      <c r="AD136" s="32"/>
      <c r="AE136" s="32"/>
      <c r="AF136" s="32"/>
      <c r="AG136" s="32"/>
      <c r="AH136" s="32"/>
      <c r="AI136" s="32"/>
      <c r="AJ136" s="32"/>
      <c r="AK136" s="32"/>
      <c r="AL136" s="32"/>
      <c r="AM136" s="32"/>
      <c r="AN136" s="32"/>
      <c r="AO136" s="32"/>
      <c r="AP136" s="32"/>
      <c r="AQ136" s="32"/>
    </row>
    <row r="137" spans="1:43" ht="15.75" customHeight="1">
      <c r="A137" s="456" t="s">
        <v>3858</v>
      </c>
      <c r="B137" s="14" t="s">
        <v>43</v>
      </c>
      <c r="C137" s="253" t="s">
        <v>1173</v>
      </c>
      <c r="D137" s="232"/>
      <c r="E137" s="58"/>
      <c r="F137" s="16" t="s">
        <v>1174</v>
      </c>
      <c r="G137" s="32"/>
      <c r="H137" s="48" t="s">
        <v>3947</v>
      </c>
      <c r="I137" s="43" t="s">
        <v>1175</v>
      </c>
      <c r="J137" s="98"/>
      <c r="K137" s="82"/>
      <c r="L137" s="22" t="s">
        <v>1176</v>
      </c>
      <c r="M137" s="53" t="s">
        <v>853</v>
      </c>
      <c r="N137" s="54" t="s">
        <v>37</v>
      </c>
      <c r="O137" s="394"/>
      <c r="P137" s="112"/>
      <c r="Q137" s="56"/>
      <c r="R137" s="296" t="s">
        <v>370</v>
      </c>
      <c r="S137" s="95" t="s">
        <v>41</v>
      </c>
      <c r="T137" s="21"/>
      <c r="U137" s="28"/>
      <c r="V137" s="28"/>
      <c r="W137" s="29"/>
      <c r="X137" s="29"/>
      <c r="Y137" s="30"/>
      <c r="Z137" s="30"/>
      <c r="AA137" s="30"/>
      <c r="AB137" s="146" t="s">
        <v>1177</v>
      </c>
      <c r="AC137" s="32"/>
      <c r="AD137" s="32"/>
      <c r="AE137" s="32"/>
      <c r="AF137" s="32"/>
      <c r="AG137" s="32"/>
      <c r="AH137" s="32"/>
      <c r="AI137" s="32"/>
      <c r="AJ137" s="32"/>
      <c r="AK137" s="32"/>
      <c r="AL137" s="32"/>
      <c r="AM137" s="32"/>
      <c r="AN137" s="32"/>
      <c r="AO137" s="32"/>
      <c r="AP137" s="32"/>
      <c r="AQ137" s="32"/>
    </row>
    <row r="138" spans="1:43" ht="15.75" customHeight="1">
      <c r="A138" s="457" t="s">
        <v>1178</v>
      </c>
      <c r="B138" s="33" t="s">
        <v>43</v>
      </c>
      <c r="C138" s="247" t="s">
        <v>170</v>
      </c>
      <c r="D138" s="232"/>
      <c r="E138" s="58"/>
      <c r="F138" s="16" t="s">
        <v>1179</v>
      </c>
      <c r="G138" s="32"/>
      <c r="H138" s="48" t="s">
        <v>1180</v>
      </c>
      <c r="I138" s="43" t="s">
        <v>1181</v>
      </c>
      <c r="J138" s="98"/>
      <c r="K138" s="82"/>
      <c r="L138" s="22" t="s">
        <v>1182</v>
      </c>
      <c r="M138" s="53" t="s">
        <v>1183</v>
      </c>
      <c r="N138" s="54" t="s">
        <v>1184</v>
      </c>
      <c r="O138" s="54"/>
      <c r="P138" s="74" t="s">
        <v>1185</v>
      </c>
      <c r="Q138" s="56" t="s">
        <v>1186</v>
      </c>
      <c r="R138" s="305" t="s">
        <v>40</v>
      </c>
      <c r="S138" s="32" t="s">
        <v>41</v>
      </c>
      <c r="T138" s="21"/>
      <c r="U138" s="28"/>
      <c r="V138" s="28"/>
      <c r="W138" s="29"/>
      <c r="X138" s="29"/>
      <c r="Y138" s="30"/>
      <c r="Z138" s="30"/>
      <c r="AA138" s="30"/>
      <c r="AB138" s="41"/>
      <c r="AC138" s="32"/>
      <c r="AD138" s="32"/>
      <c r="AE138" s="32"/>
      <c r="AF138" s="32"/>
      <c r="AG138" s="32"/>
      <c r="AH138" s="32"/>
      <c r="AI138" s="32"/>
      <c r="AJ138" s="32"/>
      <c r="AK138" s="32"/>
      <c r="AL138" s="32"/>
      <c r="AM138" s="32"/>
      <c r="AN138" s="32"/>
      <c r="AO138" s="32"/>
      <c r="AP138" s="32"/>
      <c r="AQ138" s="32"/>
    </row>
    <row r="139" spans="1:43" ht="15.75" customHeight="1">
      <c r="A139" s="456" t="s">
        <v>3857</v>
      </c>
      <c r="B139" s="33" t="s">
        <v>43</v>
      </c>
      <c r="C139" s="246" t="s">
        <v>1187</v>
      </c>
      <c r="D139" s="232"/>
      <c r="E139" s="58"/>
      <c r="F139" s="47" t="s">
        <v>1188</v>
      </c>
      <c r="G139" s="32"/>
      <c r="H139" s="48" t="s">
        <v>3948</v>
      </c>
      <c r="I139" s="43" t="s">
        <v>1189</v>
      </c>
      <c r="J139" s="35"/>
      <c r="K139" s="22"/>
      <c r="L139" s="22" t="s">
        <v>1190</v>
      </c>
      <c r="M139" s="53" t="s">
        <v>853</v>
      </c>
      <c r="N139" s="54" t="s">
        <v>37</v>
      </c>
      <c r="O139" s="54"/>
      <c r="P139" s="55"/>
      <c r="Q139" s="56"/>
      <c r="R139" s="113" t="s">
        <v>370</v>
      </c>
      <c r="S139" s="32" t="s">
        <v>41</v>
      </c>
      <c r="T139" s="21"/>
      <c r="U139" s="28"/>
      <c r="V139" s="28"/>
      <c r="W139" s="29"/>
      <c r="X139" s="29"/>
      <c r="Y139" s="30"/>
      <c r="Z139" s="30"/>
      <c r="AA139" s="30"/>
      <c r="AB139" s="146" t="s">
        <v>1177</v>
      </c>
      <c r="AC139" s="32"/>
      <c r="AD139" s="32"/>
      <c r="AE139" s="32"/>
      <c r="AF139" s="32"/>
      <c r="AG139" s="32"/>
      <c r="AH139" s="32"/>
      <c r="AI139" s="32"/>
      <c r="AJ139" s="32"/>
      <c r="AK139" s="32"/>
      <c r="AL139" s="32"/>
      <c r="AM139" s="32"/>
      <c r="AN139" s="32"/>
      <c r="AO139" s="32"/>
      <c r="AP139" s="32"/>
      <c r="AQ139" s="32"/>
    </row>
    <row r="140" spans="1:43" ht="15.75" customHeight="1">
      <c r="A140" s="457" t="s">
        <v>1191</v>
      </c>
      <c r="B140" s="14" t="s">
        <v>43</v>
      </c>
      <c r="C140" s="247" t="s">
        <v>170</v>
      </c>
      <c r="D140" s="232"/>
      <c r="E140" s="58"/>
      <c r="F140" s="16" t="s">
        <v>1192</v>
      </c>
      <c r="G140" s="32"/>
      <c r="H140" s="32" t="s">
        <v>1193</v>
      </c>
      <c r="I140" s="43" t="s">
        <v>1194</v>
      </c>
      <c r="J140" s="147"/>
      <c r="K140" s="138" t="s">
        <v>1195</v>
      </c>
      <c r="L140" s="82"/>
      <c r="M140" s="53" t="s">
        <v>1196</v>
      </c>
      <c r="N140" s="38" t="s">
        <v>1197</v>
      </c>
      <c r="O140" s="38"/>
      <c r="P140" s="25"/>
      <c r="Q140" s="26"/>
      <c r="R140" s="39" t="s">
        <v>537</v>
      </c>
      <c r="S140" s="32" t="s">
        <v>41</v>
      </c>
      <c r="T140" s="21"/>
      <c r="U140" s="28"/>
      <c r="V140" s="28"/>
      <c r="W140" s="29"/>
      <c r="X140" s="29"/>
      <c r="Y140" s="30"/>
      <c r="Z140" s="30"/>
      <c r="AA140" s="30"/>
      <c r="AB140" s="41"/>
      <c r="AC140" s="32"/>
      <c r="AD140" s="32"/>
      <c r="AE140" s="32"/>
      <c r="AF140" s="32"/>
      <c r="AG140" s="32"/>
      <c r="AH140" s="32"/>
      <c r="AI140" s="32"/>
      <c r="AJ140" s="32"/>
      <c r="AK140" s="32"/>
      <c r="AL140" s="32"/>
      <c r="AM140" s="32"/>
      <c r="AN140" s="32"/>
      <c r="AO140" s="32"/>
      <c r="AP140" s="32"/>
      <c r="AQ140" s="32"/>
    </row>
    <row r="141" spans="1:43" ht="15.75" customHeight="1">
      <c r="A141" s="457" t="s">
        <v>1198</v>
      </c>
      <c r="B141" s="51" t="s">
        <v>43</v>
      </c>
      <c r="C141" s="248" t="s">
        <v>142</v>
      </c>
      <c r="D141" s="235"/>
      <c r="E141" s="58"/>
      <c r="F141" s="88" t="s">
        <v>1199</v>
      </c>
      <c r="G141" s="21" t="s">
        <v>1200</v>
      </c>
      <c r="H141" s="119" t="s">
        <v>1201</v>
      </c>
      <c r="I141" s="125" t="s">
        <v>1202</v>
      </c>
      <c r="J141" s="82" t="s">
        <v>1203</v>
      </c>
      <c r="K141" s="98"/>
      <c r="L141" s="98"/>
      <c r="M141" s="125" t="s">
        <v>1204</v>
      </c>
      <c r="N141" s="141" t="s">
        <v>1205</v>
      </c>
      <c r="O141" s="141"/>
      <c r="P141" s="74"/>
      <c r="Q141" s="75"/>
      <c r="R141" s="142" t="s">
        <v>1053</v>
      </c>
      <c r="S141" s="21" t="s">
        <v>41</v>
      </c>
      <c r="T141" s="21"/>
      <c r="U141" s="28" t="s">
        <v>1054</v>
      </c>
      <c r="V141" s="143" t="s">
        <v>1206</v>
      </c>
      <c r="W141" s="29"/>
      <c r="X141" s="29"/>
      <c r="Y141" s="30" t="s">
        <v>1207</v>
      </c>
      <c r="Z141" s="30"/>
      <c r="AA141" s="30"/>
      <c r="AB141" s="46" t="s">
        <v>1208</v>
      </c>
      <c r="AC141" s="21" t="s">
        <v>1209</v>
      </c>
      <c r="AD141" s="21"/>
      <c r="AE141" s="21"/>
      <c r="AF141" s="21"/>
      <c r="AG141" s="21"/>
      <c r="AH141" s="21"/>
      <c r="AI141" s="21"/>
      <c r="AJ141" s="21"/>
      <c r="AK141" s="21"/>
      <c r="AL141" s="21"/>
      <c r="AM141" s="21"/>
      <c r="AN141" s="21"/>
      <c r="AO141" s="21"/>
      <c r="AP141" s="21"/>
      <c r="AQ141" s="21"/>
    </row>
    <row r="142" spans="1:43" ht="15.75" customHeight="1">
      <c r="A142" s="457" t="s">
        <v>1210</v>
      </c>
      <c r="B142" s="32" t="s">
        <v>1211</v>
      </c>
      <c r="C142" s="247" t="s">
        <v>170</v>
      </c>
      <c r="D142" s="232"/>
      <c r="E142" s="58"/>
      <c r="F142" s="16" t="s">
        <v>1212</v>
      </c>
      <c r="G142" s="32" t="s">
        <v>1213</v>
      </c>
      <c r="H142" s="40" t="s">
        <v>1214</v>
      </c>
      <c r="I142" s="43" t="s">
        <v>118</v>
      </c>
      <c r="J142" s="22"/>
      <c r="K142" s="22"/>
      <c r="L142" s="22"/>
      <c r="M142" s="53" t="s">
        <v>91</v>
      </c>
      <c r="N142" s="54" t="s">
        <v>330</v>
      </c>
      <c r="O142" s="54"/>
      <c r="P142" s="55"/>
      <c r="Q142" s="56"/>
      <c r="R142" s="32" t="s">
        <v>49</v>
      </c>
      <c r="S142" s="32" t="s">
        <v>41</v>
      </c>
      <c r="T142" s="21"/>
      <c r="U142" s="28"/>
      <c r="V142" s="28"/>
      <c r="W142" s="29"/>
      <c r="X142" s="29"/>
      <c r="Y142" s="30"/>
      <c r="Z142" s="30"/>
      <c r="AA142" s="30"/>
      <c r="AB142" s="41"/>
      <c r="AC142" s="32"/>
      <c r="AD142" s="32"/>
      <c r="AE142" s="32"/>
      <c r="AF142" s="32"/>
      <c r="AG142" s="32"/>
      <c r="AH142" s="32"/>
      <c r="AI142" s="32"/>
      <c r="AJ142" s="32"/>
      <c r="AK142" s="32"/>
      <c r="AL142" s="32"/>
      <c r="AM142" s="32"/>
      <c r="AN142" s="32"/>
      <c r="AO142" s="32"/>
      <c r="AP142" s="32"/>
      <c r="AQ142" s="32"/>
    </row>
    <row r="143" spans="1:43" ht="15.75" customHeight="1">
      <c r="A143" s="457" t="s">
        <v>1215</v>
      </c>
      <c r="B143" s="21" t="s">
        <v>1216</v>
      </c>
      <c r="C143" s="247" t="s">
        <v>170</v>
      </c>
      <c r="D143" s="235"/>
      <c r="E143" s="58"/>
      <c r="F143" s="88" t="s">
        <v>1217</v>
      </c>
      <c r="G143" s="21" t="s">
        <v>1218</v>
      </c>
      <c r="H143" s="119" t="s">
        <v>1219</v>
      </c>
      <c r="I143" s="125" t="s">
        <v>1220</v>
      </c>
      <c r="J143" s="22" t="s">
        <v>1203</v>
      </c>
      <c r="K143" s="22"/>
      <c r="L143" s="22"/>
      <c r="M143" s="125" t="s">
        <v>1204</v>
      </c>
      <c r="N143" s="141" t="s">
        <v>1221</v>
      </c>
      <c r="O143" s="141"/>
      <c r="P143" s="74"/>
      <c r="Q143" s="75"/>
      <c r="R143" s="148" t="s">
        <v>1053</v>
      </c>
      <c r="S143" s="21" t="s">
        <v>41</v>
      </c>
      <c r="T143" s="21" t="s">
        <v>4002</v>
      </c>
      <c r="U143" s="28"/>
      <c r="V143" s="28"/>
      <c r="W143" s="29"/>
      <c r="X143" s="29"/>
      <c r="Y143" s="30"/>
      <c r="Z143" s="30"/>
      <c r="AA143" s="30"/>
      <c r="AB143" s="41"/>
      <c r="AC143" s="21"/>
      <c r="AD143" s="21"/>
      <c r="AE143" s="21"/>
      <c r="AF143" s="21"/>
      <c r="AG143" s="21"/>
      <c r="AH143" s="21"/>
      <c r="AI143" s="21"/>
      <c r="AJ143" s="21"/>
      <c r="AK143" s="21"/>
      <c r="AL143" s="21"/>
      <c r="AM143" s="21"/>
      <c r="AN143" s="21"/>
      <c r="AO143" s="21"/>
      <c r="AP143" s="21"/>
      <c r="AQ143" s="21"/>
    </row>
    <row r="144" spans="1:43" ht="15.75" customHeight="1">
      <c r="A144" s="457" t="s">
        <v>1222</v>
      </c>
      <c r="B144" s="21" t="s">
        <v>996</v>
      </c>
      <c r="C144" s="247" t="s">
        <v>170</v>
      </c>
      <c r="D144" s="235"/>
      <c r="E144" s="58"/>
      <c r="F144" s="144" t="s">
        <v>1223</v>
      </c>
      <c r="G144" s="21" t="s">
        <v>1224</v>
      </c>
      <c r="H144" s="119" t="s">
        <v>1225</v>
      </c>
      <c r="I144" s="125" t="s">
        <v>1226</v>
      </c>
      <c r="J144" s="22" t="s">
        <v>1203</v>
      </c>
      <c r="K144" s="22"/>
      <c r="L144" s="22"/>
      <c r="M144" s="125" t="s">
        <v>1204</v>
      </c>
      <c r="N144" s="141" t="s">
        <v>1227</v>
      </c>
      <c r="O144" s="141"/>
      <c r="P144" s="74"/>
      <c r="Q144" s="75"/>
      <c r="R144" s="142" t="s">
        <v>1053</v>
      </c>
      <c r="S144" s="21" t="s">
        <v>41</v>
      </c>
      <c r="T144" s="21" t="s">
        <v>4003</v>
      </c>
      <c r="U144" s="28"/>
      <c r="V144" s="28"/>
      <c r="W144" s="29"/>
      <c r="X144" s="29"/>
      <c r="Y144" s="30"/>
      <c r="Z144" s="30"/>
      <c r="AA144" s="30"/>
      <c r="AB144" s="41"/>
      <c r="AC144" s="21"/>
      <c r="AD144" s="21"/>
      <c r="AE144" s="21"/>
      <c r="AF144" s="21"/>
      <c r="AG144" s="21"/>
      <c r="AH144" s="21"/>
      <c r="AI144" s="21"/>
      <c r="AJ144" s="21"/>
      <c r="AK144" s="21"/>
      <c r="AL144" s="21"/>
      <c r="AM144" s="21"/>
      <c r="AN144" s="21"/>
      <c r="AO144" s="21"/>
      <c r="AP144" s="21"/>
      <c r="AQ144" s="21"/>
    </row>
    <row r="145" spans="1:43" ht="15.75" customHeight="1">
      <c r="A145" s="457" t="s">
        <v>1228</v>
      </c>
      <c r="B145" s="14" t="s">
        <v>43</v>
      </c>
      <c r="C145" s="247" t="s">
        <v>170</v>
      </c>
      <c r="D145" s="232"/>
      <c r="E145" s="58"/>
      <c r="F145" s="32" t="s">
        <v>1089</v>
      </c>
      <c r="G145" s="32"/>
      <c r="H145" s="95" t="s">
        <v>1229</v>
      </c>
      <c r="I145" s="43" t="s">
        <v>1006</v>
      </c>
      <c r="J145" s="22"/>
      <c r="K145" s="82"/>
      <c r="L145" s="82"/>
      <c r="M145" s="125" t="s">
        <v>649</v>
      </c>
      <c r="N145" s="73" t="s">
        <v>1230</v>
      </c>
      <c r="O145" s="73" t="s">
        <v>38</v>
      </c>
      <c r="P145" s="74"/>
      <c r="Q145" s="75" t="s">
        <v>39</v>
      </c>
      <c r="R145" s="39" t="s">
        <v>517</v>
      </c>
      <c r="S145" s="32" t="s">
        <v>41</v>
      </c>
      <c r="T145" s="21" t="s">
        <v>1231</v>
      </c>
      <c r="U145" s="28"/>
      <c r="V145" s="28"/>
      <c r="W145" s="29"/>
      <c r="X145" s="29"/>
      <c r="Y145" s="30" t="s">
        <v>1232</v>
      </c>
      <c r="Z145" s="30" t="s">
        <v>1233</v>
      </c>
      <c r="AA145" s="30"/>
      <c r="AB145" s="41"/>
      <c r="AC145" s="47" t="s">
        <v>1234</v>
      </c>
      <c r="AD145" s="32"/>
      <c r="AE145" s="32"/>
      <c r="AF145" s="32"/>
      <c r="AG145" s="32"/>
      <c r="AH145" s="32"/>
      <c r="AI145" s="32"/>
      <c r="AJ145" s="32"/>
      <c r="AK145" s="32"/>
      <c r="AL145" s="32"/>
      <c r="AM145" s="32"/>
      <c r="AN145" s="32"/>
      <c r="AO145" s="32"/>
      <c r="AP145" s="32"/>
      <c r="AQ145" s="32"/>
    </row>
    <row r="146" spans="1:43" ht="15.75" customHeight="1">
      <c r="A146" s="264" t="s">
        <v>1235</v>
      </c>
      <c r="B146" s="51" t="s">
        <v>43</v>
      </c>
      <c r="C146" s="253" t="s">
        <v>1236</v>
      </c>
      <c r="D146" s="235"/>
      <c r="E146" s="58"/>
      <c r="F146" s="21" t="s">
        <v>1089</v>
      </c>
      <c r="G146" s="21" t="s">
        <v>1237</v>
      </c>
      <c r="H146" s="119" t="s">
        <v>1238</v>
      </c>
      <c r="I146" s="125" t="s">
        <v>1239</v>
      </c>
      <c r="J146" s="82" t="s">
        <v>1240</v>
      </c>
      <c r="K146" s="98"/>
      <c r="L146" s="98"/>
      <c r="M146" s="125" t="s">
        <v>1204</v>
      </c>
      <c r="N146" s="141" t="s">
        <v>1241</v>
      </c>
      <c r="O146" s="141"/>
      <c r="P146" s="74"/>
      <c r="Q146" s="75"/>
      <c r="R146" s="142" t="s">
        <v>1053</v>
      </c>
      <c r="S146" s="21" t="s">
        <v>41</v>
      </c>
      <c r="T146" s="21" t="s">
        <v>1242</v>
      </c>
      <c r="U146" s="28" t="s">
        <v>1054</v>
      </c>
      <c r="V146" s="143" t="s">
        <v>1243</v>
      </c>
      <c r="W146" s="29"/>
      <c r="X146" s="29"/>
      <c r="Y146" s="30" t="s">
        <v>1244</v>
      </c>
      <c r="Z146" s="30"/>
      <c r="AA146" s="30"/>
      <c r="AB146" s="31" t="s">
        <v>1056</v>
      </c>
      <c r="AC146" s="21" t="s">
        <v>1209</v>
      </c>
      <c r="AD146" s="21"/>
      <c r="AE146" s="21"/>
      <c r="AF146" s="21"/>
      <c r="AG146" s="21"/>
      <c r="AH146" s="21"/>
      <c r="AI146" s="21"/>
      <c r="AJ146" s="21"/>
      <c r="AK146" s="21"/>
      <c r="AL146" s="21"/>
      <c r="AM146" s="21"/>
      <c r="AN146" s="21"/>
      <c r="AO146" s="21"/>
      <c r="AP146" s="21"/>
      <c r="AQ146" s="21"/>
    </row>
    <row r="147" spans="1:43" ht="15.75" customHeight="1">
      <c r="A147" s="454" t="s">
        <v>1245</v>
      </c>
      <c r="B147" s="21" t="s">
        <v>1246</v>
      </c>
      <c r="C147" s="247" t="s">
        <v>170</v>
      </c>
      <c r="D147" s="235"/>
      <c r="E147" s="58"/>
      <c r="F147" s="21" t="s">
        <v>1089</v>
      </c>
      <c r="G147" s="21" t="s">
        <v>1247</v>
      </c>
      <c r="H147" s="119" t="s">
        <v>1248</v>
      </c>
      <c r="I147" s="125" t="s">
        <v>118</v>
      </c>
      <c r="J147" s="22"/>
      <c r="K147" s="82"/>
      <c r="L147" s="82"/>
      <c r="M147" s="125" t="s">
        <v>91</v>
      </c>
      <c r="N147" s="134" t="s">
        <v>1249</v>
      </c>
      <c r="O147" s="134"/>
      <c r="P147" s="55"/>
      <c r="Q147" s="56"/>
      <c r="R147" s="39" t="s">
        <v>49</v>
      </c>
      <c r="S147" s="21" t="s">
        <v>383</v>
      </c>
      <c r="T147" s="21" t="s">
        <v>120</v>
      </c>
      <c r="U147" s="28"/>
      <c r="V147" s="28"/>
      <c r="W147" s="29"/>
      <c r="X147" s="29"/>
      <c r="Y147" s="30"/>
      <c r="Z147" s="30"/>
      <c r="AA147" s="30"/>
      <c r="AB147" s="41"/>
      <c r="AC147" s="21"/>
      <c r="AD147" s="21"/>
      <c r="AE147" s="21"/>
      <c r="AF147" s="21"/>
      <c r="AG147" s="21"/>
      <c r="AH147" s="21"/>
      <c r="AI147" s="21"/>
      <c r="AJ147" s="21"/>
      <c r="AK147" s="21"/>
      <c r="AL147" s="21"/>
      <c r="AM147" s="21"/>
      <c r="AN147" s="21"/>
      <c r="AO147" s="21"/>
      <c r="AP147" s="21"/>
      <c r="AQ147" s="21"/>
    </row>
    <row r="148" spans="1:43" ht="15.75" customHeight="1">
      <c r="A148" s="454" t="s">
        <v>1250</v>
      </c>
      <c r="B148" s="51" t="s">
        <v>43</v>
      </c>
      <c r="C148" s="247" t="s">
        <v>170</v>
      </c>
      <c r="D148" s="239"/>
      <c r="E148" s="149"/>
      <c r="F148" s="21" t="s">
        <v>1089</v>
      </c>
      <c r="G148" s="51" t="s">
        <v>1251</v>
      </c>
      <c r="H148" s="109" t="s">
        <v>1252</v>
      </c>
      <c r="I148" s="125" t="s">
        <v>1253</v>
      </c>
      <c r="J148" s="22" t="s">
        <v>1254</v>
      </c>
      <c r="K148" s="35"/>
      <c r="L148" s="35"/>
      <c r="M148" s="125" t="s">
        <v>1051</v>
      </c>
      <c r="N148" s="141" t="s">
        <v>1255</v>
      </c>
      <c r="O148" s="141"/>
      <c r="P148" s="74"/>
      <c r="Q148" s="75"/>
      <c r="R148" s="142" t="s">
        <v>1256</v>
      </c>
      <c r="S148" s="21" t="s">
        <v>41</v>
      </c>
      <c r="T148" s="21"/>
      <c r="U148" s="28" t="s">
        <v>1054</v>
      </c>
      <c r="V148" s="143" t="s">
        <v>1257</v>
      </c>
      <c r="W148" s="29"/>
      <c r="X148" s="29"/>
      <c r="Y148" s="30" t="s">
        <v>1258</v>
      </c>
      <c r="Z148" s="30"/>
      <c r="AA148" s="30"/>
      <c r="AB148" s="31" t="s">
        <v>1056</v>
      </c>
      <c r="AC148" s="21" t="s">
        <v>1209</v>
      </c>
      <c r="AD148" s="21"/>
      <c r="AE148" s="21"/>
      <c r="AF148" s="21"/>
      <c r="AG148" s="21"/>
      <c r="AH148" s="21"/>
      <c r="AI148" s="21"/>
      <c r="AJ148" s="21"/>
      <c r="AK148" s="21"/>
      <c r="AL148" s="21"/>
      <c r="AM148" s="21"/>
      <c r="AN148" s="21"/>
      <c r="AO148" s="21"/>
      <c r="AP148" s="21"/>
      <c r="AQ148" s="21"/>
    </row>
    <row r="149" spans="1:43" ht="15.75" customHeight="1">
      <c r="A149" s="454" t="s">
        <v>1259</v>
      </c>
      <c r="B149" s="51" t="s">
        <v>43</v>
      </c>
      <c r="C149" s="247" t="s">
        <v>170</v>
      </c>
      <c r="D149" s="235"/>
      <c r="E149" s="58"/>
      <c r="F149" s="21" t="s">
        <v>1089</v>
      </c>
      <c r="G149" s="21" t="s">
        <v>1260</v>
      </c>
      <c r="H149" s="119" t="s">
        <v>1261</v>
      </c>
      <c r="I149" s="125" t="s">
        <v>1262</v>
      </c>
      <c r="J149" s="103" t="s">
        <v>1263</v>
      </c>
      <c r="K149" s="98"/>
      <c r="L149" s="98"/>
      <c r="M149" s="15" t="s">
        <v>1051</v>
      </c>
      <c r="N149" s="141" t="s">
        <v>1264</v>
      </c>
      <c r="O149" s="141"/>
      <c r="P149" s="74"/>
      <c r="Q149" s="75"/>
      <c r="R149" s="142" t="s">
        <v>1256</v>
      </c>
      <c r="S149" s="21" t="s">
        <v>41</v>
      </c>
      <c r="T149" s="21"/>
      <c r="U149" s="28" t="s">
        <v>1054</v>
      </c>
      <c r="V149" s="143" t="s">
        <v>1265</v>
      </c>
      <c r="W149" s="29"/>
      <c r="X149" s="29"/>
      <c r="Y149" s="30" t="s">
        <v>1266</v>
      </c>
      <c r="Z149" s="30"/>
      <c r="AA149" s="30"/>
      <c r="AB149" s="46" t="s">
        <v>1267</v>
      </c>
      <c r="AC149" s="21" t="s">
        <v>1209</v>
      </c>
      <c r="AD149" s="21"/>
      <c r="AE149" s="21"/>
      <c r="AF149" s="21"/>
      <c r="AG149" s="21"/>
      <c r="AH149" s="21"/>
      <c r="AI149" s="21"/>
      <c r="AJ149" s="21"/>
      <c r="AK149" s="21"/>
      <c r="AL149" s="21"/>
      <c r="AM149" s="21"/>
      <c r="AN149" s="21"/>
      <c r="AO149" s="21"/>
      <c r="AP149" s="21"/>
      <c r="AQ149" s="21"/>
    </row>
    <row r="150" spans="1:43" ht="15.75" customHeight="1">
      <c r="A150" s="441" t="s">
        <v>1268</v>
      </c>
      <c r="B150" s="32" t="s">
        <v>43</v>
      </c>
      <c r="C150" s="247" t="s">
        <v>170</v>
      </c>
      <c r="D150" s="232"/>
      <c r="E150" s="58"/>
      <c r="F150" s="32" t="s">
        <v>1089</v>
      </c>
      <c r="G150" s="32" t="s">
        <v>1269</v>
      </c>
      <c r="H150" s="48" t="s">
        <v>1270</v>
      </c>
      <c r="I150" s="43" t="s">
        <v>118</v>
      </c>
      <c r="J150" s="22"/>
      <c r="K150" s="22"/>
      <c r="L150" s="22"/>
      <c r="M150" s="125" t="s">
        <v>91</v>
      </c>
      <c r="N150" s="38" t="s">
        <v>1271</v>
      </c>
      <c r="O150" s="38"/>
      <c r="P150" s="25"/>
      <c r="Q150" s="26"/>
      <c r="R150" s="39" t="s">
        <v>49</v>
      </c>
      <c r="S150" s="32" t="s">
        <v>41</v>
      </c>
      <c r="T150" s="21"/>
      <c r="U150" s="28"/>
      <c r="V150" s="28"/>
      <c r="W150" s="29"/>
      <c r="X150" s="29"/>
      <c r="Y150" s="30"/>
      <c r="Z150" s="30"/>
      <c r="AA150" s="30"/>
      <c r="AB150" s="41"/>
      <c r="AC150" s="32"/>
      <c r="AD150" s="32"/>
      <c r="AE150" s="32"/>
      <c r="AF150" s="32"/>
      <c r="AG150" s="32"/>
      <c r="AH150" s="32"/>
      <c r="AI150" s="32"/>
      <c r="AJ150" s="32"/>
      <c r="AK150" s="32"/>
      <c r="AL150" s="32"/>
      <c r="AM150" s="32"/>
      <c r="AN150" s="32"/>
      <c r="AO150" s="32"/>
      <c r="AP150" s="32"/>
      <c r="AQ150" s="32"/>
    </row>
    <row r="151" spans="1:43" ht="15.75" customHeight="1">
      <c r="A151" s="441" t="s">
        <v>1272</v>
      </c>
      <c r="B151" s="14" t="s">
        <v>43</v>
      </c>
      <c r="C151" s="247" t="s">
        <v>170</v>
      </c>
      <c r="D151" s="232"/>
      <c r="E151" s="58"/>
      <c r="F151" s="16" t="s">
        <v>1273</v>
      </c>
      <c r="G151" s="32"/>
      <c r="H151" s="48" t="s">
        <v>1274</v>
      </c>
      <c r="I151" s="43" t="s">
        <v>1275</v>
      </c>
      <c r="J151" s="22"/>
      <c r="K151" s="22"/>
      <c r="L151" s="22" t="s">
        <v>1276</v>
      </c>
      <c r="M151" s="113" t="s">
        <v>1277</v>
      </c>
      <c r="N151" s="54" t="s">
        <v>1278</v>
      </c>
      <c r="O151" s="54" t="s">
        <v>983</v>
      </c>
      <c r="P151" s="55"/>
      <c r="Q151" s="56" t="s">
        <v>1279</v>
      </c>
      <c r="R151" s="39" t="s">
        <v>517</v>
      </c>
      <c r="S151" s="32" t="s">
        <v>41</v>
      </c>
      <c r="T151" s="21"/>
      <c r="U151" s="28"/>
      <c r="V151" s="28"/>
      <c r="W151" s="29"/>
      <c r="X151" s="29"/>
      <c r="Y151" s="30"/>
      <c r="Z151" s="30" t="s">
        <v>1280</v>
      </c>
      <c r="AA151" s="30" t="s">
        <v>1281</v>
      </c>
      <c r="AB151" s="41"/>
      <c r="AC151" s="39"/>
      <c r="AD151" s="32"/>
      <c r="AE151" s="32"/>
      <c r="AF151" s="32"/>
      <c r="AG151" s="32"/>
      <c r="AH151" s="32"/>
      <c r="AI151" s="32"/>
      <c r="AJ151" s="32"/>
      <c r="AK151" s="32"/>
      <c r="AL151" s="32"/>
      <c r="AM151" s="32"/>
      <c r="AN151" s="32"/>
      <c r="AO151" s="32"/>
      <c r="AP151" s="32"/>
      <c r="AQ151" s="32"/>
    </row>
    <row r="152" spans="1:43" ht="15.75" customHeight="1">
      <c r="A152" s="441" t="s">
        <v>1282</v>
      </c>
      <c r="B152" s="32" t="s">
        <v>1211</v>
      </c>
      <c r="C152" s="247" t="s">
        <v>170</v>
      </c>
      <c r="D152" s="232"/>
      <c r="E152" s="58"/>
      <c r="F152" s="16" t="s">
        <v>1283</v>
      </c>
      <c r="G152" s="32" t="s">
        <v>1284</v>
      </c>
      <c r="H152" s="95" t="s">
        <v>1285</v>
      </c>
      <c r="I152" s="43" t="s">
        <v>1286</v>
      </c>
      <c r="J152" s="82"/>
      <c r="K152" s="82"/>
      <c r="L152" s="82"/>
      <c r="M152" s="53" t="s">
        <v>91</v>
      </c>
      <c r="N152" s="54" t="s">
        <v>1287</v>
      </c>
      <c r="O152" s="54"/>
      <c r="P152" s="55"/>
      <c r="Q152" s="56"/>
      <c r="R152" s="39" t="s">
        <v>49</v>
      </c>
      <c r="S152" s="32" t="s">
        <v>41</v>
      </c>
      <c r="T152" s="21"/>
      <c r="U152" s="28"/>
      <c r="V152" s="28"/>
      <c r="W152" s="29"/>
      <c r="X152" s="29"/>
      <c r="Y152" s="30"/>
      <c r="Z152" s="30"/>
      <c r="AA152" s="30"/>
      <c r="AB152" s="41"/>
      <c r="AC152" s="32"/>
      <c r="AD152" s="32"/>
      <c r="AE152" s="32"/>
      <c r="AF152" s="32"/>
      <c r="AG152" s="32"/>
      <c r="AH152" s="32"/>
      <c r="AI152" s="32"/>
      <c r="AJ152" s="32"/>
      <c r="AK152" s="32"/>
      <c r="AL152" s="32"/>
      <c r="AM152" s="32"/>
      <c r="AN152" s="32"/>
      <c r="AO152" s="32"/>
      <c r="AP152" s="32"/>
      <c r="AQ152" s="32"/>
    </row>
    <row r="153" spans="1:43" ht="15.75" customHeight="1">
      <c r="A153" s="441" t="s">
        <v>1288</v>
      </c>
      <c r="B153" s="95" t="s">
        <v>43</v>
      </c>
      <c r="C153" s="247" t="s">
        <v>170</v>
      </c>
      <c r="D153" s="232"/>
      <c r="E153" s="58"/>
      <c r="F153" s="16" t="s">
        <v>1289</v>
      </c>
      <c r="G153" s="32"/>
      <c r="H153" s="95" t="s">
        <v>1290</v>
      </c>
      <c r="I153" s="43" t="s">
        <v>1291</v>
      </c>
      <c r="J153" s="82"/>
      <c r="K153" s="82"/>
      <c r="L153" s="22" t="s">
        <v>1292</v>
      </c>
      <c r="M153" s="43" t="s">
        <v>1293</v>
      </c>
      <c r="N153" s="54" t="s">
        <v>330</v>
      </c>
      <c r="O153" s="54"/>
      <c r="P153" s="55"/>
      <c r="Q153" s="56"/>
      <c r="R153" s="296" t="s">
        <v>370</v>
      </c>
      <c r="S153" s="32" t="s">
        <v>41</v>
      </c>
      <c r="T153" s="21"/>
      <c r="U153" s="28"/>
      <c r="V153" s="28"/>
      <c r="W153" s="29"/>
      <c r="X153" s="29"/>
      <c r="Y153" s="30"/>
      <c r="Z153" s="30"/>
      <c r="AA153" s="30"/>
      <c r="AB153" s="41"/>
      <c r="AC153" s="32"/>
      <c r="AD153" s="32"/>
      <c r="AE153" s="32"/>
      <c r="AF153" s="32"/>
      <c r="AG153" s="32"/>
      <c r="AH153" s="32"/>
      <c r="AI153" s="32"/>
      <c r="AJ153" s="32"/>
      <c r="AK153" s="32"/>
      <c r="AL153" s="32"/>
      <c r="AM153" s="32"/>
      <c r="AN153" s="32"/>
      <c r="AO153" s="32"/>
      <c r="AP153" s="32"/>
      <c r="AQ153" s="32"/>
    </row>
    <row r="154" spans="1:43" ht="15.75" customHeight="1">
      <c r="A154" s="441" t="s">
        <v>1294</v>
      </c>
      <c r="B154" s="95" t="s">
        <v>43</v>
      </c>
      <c r="C154" s="247" t="s">
        <v>170</v>
      </c>
      <c r="D154" s="232"/>
      <c r="E154" s="58"/>
      <c r="F154" s="16" t="s">
        <v>1295</v>
      </c>
      <c r="G154" s="32" t="s">
        <v>1296</v>
      </c>
      <c r="H154" s="95" t="s">
        <v>1297</v>
      </c>
      <c r="I154" s="43" t="s">
        <v>1298</v>
      </c>
      <c r="J154" s="35"/>
      <c r="K154" s="82"/>
      <c r="L154" s="82" t="s">
        <v>1299</v>
      </c>
      <c r="M154" s="53" t="s">
        <v>1300</v>
      </c>
      <c r="N154" s="54" t="s">
        <v>1301</v>
      </c>
      <c r="O154" s="54"/>
      <c r="P154" s="55"/>
      <c r="Q154" s="56"/>
      <c r="R154" s="296" t="s">
        <v>370</v>
      </c>
      <c r="S154" s="32" t="s">
        <v>41</v>
      </c>
      <c r="T154" s="21"/>
      <c r="U154" s="28"/>
      <c r="V154" s="28"/>
      <c r="W154" s="29"/>
      <c r="X154" s="29"/>
      <c r="Y154" s="30" t="s">
        <v>1302</v>
      </c>
      <c r="Z154" s="30"/>
      <c r="AA154" s="30"/>
      <c r="AB154" s="41"/>
      <c r="AC154" s="32"/>
      <c r="AD154" s="32"/>
      <c r="AE154" s="32"/>
      <c r="AF154" s="32"/>
      <c r="AG154" s="32"/>
      <c r="AH154" s="32"/>
      <c r="AI154" s="32"/>
      <c r="AJ154" s="32"/>
      <c r="AK154" s="32"/>
      <c r="AL154" s="32"/>
      <c r="AM154" s="32"/>
      <c r="AN154" s="32"/>
      <c r="AO154" s="32"/>
      <c r="AP154" s="32"/>
      <c r="AQ154" s="32"/>
    </row>
    <row r="155" spans="1:43" ht="15.75" customHeight="1">
      <c r="A155" s="454" t="s">
        <v>1303</v>
      </c>
      <c r="B155" s="21" t="s">
        <v>1304</v>
      </c>
      <c r="C155" s="248" t="s">
        <v>142</v>
      </c>
      <c r="D155" s="235"/>
      <c r="E155" s="58"/>
      <c r="F155" s="144" t="s">
        <v>1305</v>
      </c>
      <c r="G155" s="21" t="s">
        <v>1306</v>
      </c>
      <c r="H155" s="119" t="s">
        <v>1307</v>
      </c>
      <c r="I155" s="125" t="s">
        <v>1308</v>
      </c>
      <c r="J155" s="107" t="s">
        <v>1309</v>
      </c>
      <c r="K155" s="98"/>
      <c r="L155" s="98"/>
      <c r="M155" s="125" t="s">
        <v>1310</v>
      </c>
      <c r="N155" s="141" t="s">
        <v>1311</v>
      </c>
      <c r="O155" s="141"/>
      <c r="P155" s="74"/>
      <c r="Q155" s="75"/>
      <c r="R155" s="142" t="s">
        <v>1053</v>
      </c>
      <c r="S155" s="21" t="s">
        <v>41</v>
      </c>
      <c r="T155" s="21" t="s">
        <v>1312</v>
      </c>
      <c r="U155" s="28" t="s">
        <v>1054</v>
      </c>
      <c r="V155" s="143" t="s">
        <v>1313</v>
      </c>
      <c r="W155" s="29"/>
      <c r="X155" s="29"/>
      <c r="Y155" s="30" t="s">
        <v>1314</v>
      </c>
      <c r="Z155" s="30"/>
      <c r="AA155" s="30"/>
      <c r="AB155" s="31" t="s">
        <v>1056</v>
      </c>
      <c r="AC155" s="144" t="s">
        <v>1315</v>
      </c>
      <c r="AD155" s="21"/>
      <c r="AE155" s="21"/>
      <c r="AF155" s="21"/>
      <c r="AG155" s="21"/>
      <c r="AH155" s="21"/>
      <c r="AI155" s="21"/>
      <c r="AJ155" s="21"/>
      <c r="AK155" s="21"/>
      <c r="AL155" s="21"/>
      <c r="AM155" s="21"/>
      <c r="AN155" s="21"/>
      <c r="AO155" s="21"/>
      <c r="AP155" s="21"/>
      <c r="AQ155" s="21"/>
    </row>
    <row r="156" spans="1:43" ht="15.75" customHeight="1">
      <c r="A156" s="454" t="s">
        <v>1316</v>
      </c>
      <c r="B156" s="21" t="s">
        <v>1304</v>
      </c>
      <c r="C156" s="248" t="s">
        <v>142</v>
      </c>
      <c r="D156" s="240"/>
      <c r="E156" s="150"/>
      <c r="F156" s="151" t="s">
        <v>1317</v>
      </c>
      <c r="G156" s="109" t="s">
        <v>1318</v>
      </c>
      <c r="H156" s="109" t="s">
        <v>1319</v>
      </c>
      <c r="I156" s="125" t="s">
        <v>1320</v>
      </c>
      <c r="J156" s="103" t="s">
        <v>1321</v>
      </c>
      <c r="K156" s="98"/>
      <c r="L156" s="98"/>
      <c r="M156" s="125" t="s">
        <v>1322</v>
      </c>
      <c r="N156" s="141" t="s">
        <v>1323</v>
      </c>
      <c r="O156" s="141"/>
      <c r="P156" s="74"/>
      <c r="Q156" s="75"/>
      <c r="R156" s="142" t="s">
        <v>1053</v>
      </c>
      <c r="S156" s="21" t="s">
        <v>41</v>
      </c>
      <c r="T156" s="21" t="s">
        <v>1324</v>
      </c>
      <c r="U156" s="28" t="s">
        <v>1054</v>
      </c>
      <c r="V156" s="143" t="s">
        <v>1325</v>
      </c>
      <c r="W156" s="29"/>
      <c r="X156" s="29"/>
      <c r="Y156" s="30" t="s">
        <v>1326</v>
      </c>
      <c r="Z156" s="30"/>
      <c r="AA156" s="30"/>
      <c r="AB156" s="31" t="s">
        <v>1056</v>
      </c>
      <c r="AC156" s="21" t="s">
        <v>1209</v>
      </c>
      <c r="AD156" s="21"/>
      <c r="AE156" s="21"/>
      <c r="AF156" s="21"/>
      <c r="AG156" s="21"/>
      <c r="AH156" s="21"/>
      <c r="AI156" s="21"/>
      <c r="AJ156" s="21"/>
      <c r="AK156" s="21"/>
      <c r="AL156" s="21"/>
      <c r="AM156" s="21"/>
      <c r="AN156" s="21"/>
      <c r="AO156" s="21"/>
      <c r="AP156" s="21"/>
      <c r="AQ156" s="21"/>
    </row>
    <row r="157" spans="1:43" ht="15.75" customHeight="1">
      <c r="A157" s="454" t="s">
        <v>1327</v>
      </c>
      <c r="B157" s="51" t="s">
        <v>43</v>
      </c>
      <c r="C157" s="247" t="s">
        <v>170</v>
      </c>
      <c r="D157" s="235"/>
      <c r="E157" s="58"/>
      <c r="F157" s="144" t="s">
        <v>1328</v>
      </c>
      <c r="G157" s="21"/>
      <c r="H157" s="119" t="s">
        <v>1329</v>
      </c>
      <c r="I157" s="125" t="s">
        <v>1330</v>
      </c>
      <c r="J157" s="82"/>
      <c r="K157" s="82"/>
      <c r="L157" s="82"/>
      <c r="M157" s="125" t="s">
        <v>649</v>
      </c>
      <c r="N157" s="134" t="s">
        <v>1230</v>
      </c>
      <c r="O157" s="134" t="s">
        <v>730</v>
      </c>
      <c r="P157" s="55"/>
      <c r="Q157" s="56" t="s">
        <v>731</v>
      </c>
      <c r="R157" s="39" t="s">
        <v>517</v>
      </c>
      <c r="S157" s="21" t="s">
        <v>41</v>
      </c>
      <c r="T157" s="21"/>
      <c r="U157" s="28"/>
      <c r="V157" s="28"/>
      <c r="W157" s="29"/>
      <c r="X157" s="29"/>
      <c r="Y157" s="30"/>
      <c r="Z157" s="30" t="s">
        <v>1331</v>
      </c>
      <c r="AA157" s="30" t="s">
        <v>1332</v>
      </c>
      <c r="AB157" s="41"/>
      <c r="AC157" s="21"/>
      <c r="AD157" s="21"/>
      <c r="AE157" s="21"/>
      <c r="AF157" s="21"/>
      <c r="AG157" s="21"/>
      <c r="AH157" s="21"/>
      <c r="AI157" s="21"/>
      <c r="AJ157" s="21"/>
      <c r="AK157" s="21"/>
      <c r="AL157" s="21"/>
      <c r="AM157" s="21"/>
      <c r="AN157" s="21"/>
      <c r="AO157" s="21"/>
      <c r="AP157" s="21"/>
      <c r="AQ157" s="21"/>
    </row>
    <row r="158" spans="1:43" ht="15.75" customHeight="1">
      <c r="A158" s="454" t="s">
        <v>1333</v>
      </c>
      <c r="B158" s="51" t="s">
        <v>43</v>
      </c>
      <c r="C158" s="248" t="s">
        <v>142</v>
      </c>
      <c r="D158" s="235"/>
      <c r="E158" s="58"/>
      <c r="F158" s="88" t="s">
        <v>1334</v>
      </c>
      <c r="G158" s="21" t="s">
        <v>1335</v>
      </c>
      <c r="H158" s="119" t="s">
        <v>1336</v>
      </c>
      <c r="I158" s="125" t="s">
        <v>1337</v>
      </c>
      <c r="J158" s="103" t="s">
        <v>1338</v>
      </c>
      <c r="K158" s="98"/>
      <c r="L158" s="98"/>
      <c r="M158" s="125" t="s">
        <v>1339</v>
      </c>
      <c r="N158" s="134" t="s">
        <v>1340</v>
      </c>
      <c r="O158" s="134"/>
      <c r="P158" s="55"/>
      <c r="Q158" s="56"/>
      <c r="R158" s="142" t="s">
        <v>1053</v>
      </c>
      <c r="S158" s="21" t="s">
        <v>41</v>
      </c>
      <c r="T158" s="21"/>
      <c r="U158" s="28"/>
      <c r="V158" s="28"/>
      <c r="W158" s="29"/>
      <c r="X158" s="29"/>
      <c r="Y158" s="30"/>
      <c r="Z158" s="30"/>
      <c r="AA158" s="30"/>
      <c r="AB158" s="41"/>
      <c r="AC158" s="21"/>
      <c r="AD158" s="21"/>
      <c r="AE158" s="21"/>
      <c r="AF158" s="21"/>
      <c r="AG158" s="21"/>
      <c r="AH158" s="21"/>
      <c r="AI158" s="21"/>
      <c r="AJ158" s="21"/>
      <c r="AK158" s="21"/>
      <c r="AL158" s="21"/>
      <c r="AM158" s="21"/>
      <c r="AN158" s="21"/>
      <c r="AO158" s="21"/>
      <c r="AP158" s="21"/>
      <c r="AQ158" s="21"/>
    </row>
    <row r="159" spans="1:43" ht="15.75" customHeight="1">
      <c r="A159" s="441" t="s">
        <v>1341</v>
      </c>
      <c r="B159" s="32" t="s">
        <v>1342</v>
      </c>
      <c r="C159" s="247" t="s">
        <v>170</v>
      </c>
      <c r="D159" s="232"/>
      <c r="E159" s="58"/>
      <c r="F159" s="16" t="s">
        <v>1343</v>
      </c>
      <c r="G159" s="32" t="s">
        <v>1344</v>
      </c>
      <c r="H159" s="40" t="s">
        <v>1345</v>
      </c>
      <c r="I159" s="43" t="s">
        <v>118</v>
      </c>
      <c r="J159" s="22"/>
      <c r="K159" s="22"/>
      <c r="L159" s="22"/>
      <c r="M159" s="53" t="s">
        <v>91</v>
      </c>
      <c r="N159" s="54" t="s">
        <v>1346</v>
      </c>
      <c r="O159" s="54"/>
      <c r="P159" s="55"/>
      <c r="Q159" s="56"/>
      <c r="R159" s="39" t="s">
        <v>49</v>
      </c>
      <c r="S159" s="32" t="s">
        <v>41</v>
      </c>
      <c r="T159" s="21"/>
      <c r="U159" s="28"/>
      <c r="V159" s="28"/>
      <c r="W159" s="29"/>
      <c r="X159" s="29"/>
      <c r="Y159" s="30"/>
      <c r="Z159" s="30"/>
      <c r="AA159" s="30"/>
      <c r="AB159" s="41"/>
      <c r="AC159" s="32"/>
      <c r="AD159" s="32"/>
      <c r="AE159" s="32"/>
      <c r="AF159" s="32"/>
      <c r="AG159" s="32"/>
      <c r="AH159" s="32"/>
      <c r="AI159" s="32"/>
      <c r="AJ159" s="32"/>
      <c r="AK159" s="32"/>
      <c r="AL159" s="32"/>
      <c r="AM159" s="32"/>
      <c r="AN159" s="32"/>
      <c r="AO159" s="32"/>
      <c r="AP159" s="32"/>
      <c r="AQ159" s="32"/>
    </row>
    <row r="160" spans="1:43" ht="15.75" customHeight="1">
      <c r="A160" s="454" t="s">
        <v>1347</v>
      </c>
      <c r="B160" s="51" t="s">
        <v>43</v>
      </c>
      <c r="C160" s="247" t="s">
        <v>170</v>
      </c>
      <c r="D160" s="235"/>
      <c r="E160" s="58"/>
      <c r="F160" s="88" t="s">
        <v>1348</v>
      </c>
      <c r="G160" s="21"/>
      <c r="H160" s="109" t="s">
        <v>1349</v>
      </c>
      <c r="I160" s="125" t="s">
        <v>1006</v>
      </c>
      <c r="J160" s="22"/>
      <c r="K160" s="82"/>
      <c r="L160" s="82" t="s">
        <v>1350</v>
      </c>
      <c r="M160" s="113" t="s">
        <v>1277</v>
      </c>
      <c r="N160" s="134" t="s">
        <v>1351</v>
      </c>
      <c r="O160" s="134" t="s">
        <v>1352</v>
      </c>
      <c r="P160" s="55"/>
      <c r="Q160" s="291" t="s">
        <v>1353</v>
      </c>
      <c r="R160" s="39" t="s">
        <v>517</v>
      </c>
      <c r="S160" s="21" t="s">
        <v>41</v>
      </c>
      <c r="T160" s="21"/>
      <c r="U160" s="28"/>
      <c r="V160" s="28"/>
      <c r="W160" s="29"/>
      <c r="X160" s="29"/>
      <c r="Y160" s="30"/>
      <c r="Z160" s="30" t="s">
        <v>1354</v>
      </c>
      <c r="AA160" s="30" t="s">
        <v>1355</v>
      </c>
      <c r="AB160" s="41"/>
      <c r="AC160" s="21"/>
      <c r="AD160" s="21"/>
      <c r="AE160" s="21"/>
      <c r="AF160" s="21"/>
      <c r="AG160" s="21"/>
      <c r="AH160" s="21"/>
      <c r="AI160" s="21"/>
      <c r="AJ160" s="21"/>
      <c r="AK160" s="21"/>
      <c r="AL160" s="21"/>
      <c r="AM160" s="21"/>
      <c r="AN160" s="21"/>
      <c r="AO160" s="21"/>
      <c r="AP160" s="21"/>
      <c r="AQ160" s="21"/>
    </row>
    <row r="161" spans="1:43" ht="15.75" customHeight="1">
      <c r="A161" s="454" t="s">
        <v>1356</v>
      </c>
      <c r="B161" s="51" t="s">
        <v>43</v>
      </c>
      <c r="C161" s="247" t="s">
        <v>170</v>
      </c>
      <c r="D161" s="241"/>
      <c r="E161" s="18"/>
      <c r="F161" s="19" t="s">
        <v>1357</v>
      </c>
      <c r="G161" s="20" t="s">
        <v>1358</v>
      </c>
      <c r="H161" s="109" t="s">
        <v>1359</v>
      </c>
      <c r="I161" s="125" t="s">
        <v>1360</v>
      </c>
      <c r="J161" s="22" t="s">
        <v>1338</v>
      </c>
      <c r="K161" s="35"/>
      <c r="L161" s="35"/>
      <c r="M161" s="125" t="s">
        <v>1339</v>
      </c>
      <c r="N161" s="134" t="s">
        <v>1361</v>
      </c>
      <c r="O161" s="134"/>
      <c r="P161" s="55"/>
      <c r="Q161" s="56"/>
      <c r="R161" s="142" t="s">
        <v>1256</v>
      </c>
      <c r="S161" s="21" t="s">
        <v>41</v>
      </c>
      <c r="T161" s="21"/>
      <c r="U161" s="28" t="s">
        <v>1054</v>
      </c>
      <c r="V161" s="143" t="s">
        <v>1362</v>
      </c>
      <c r="W161" s="29"/>
      <c r="X161" s="29"/>
      <c r="Y161" s="30" t="s">
        <v>1363</v>
      </c>
      <c r="Z161" s="30"/>
      <c r="AA161" s="30"/>
      <c r="AB161" s="31" t="s">
        <v>1056</v>
      </c>
      <c r="AC161" s="21" t="s">
        <v>1209</v>
      </c>
      <c r="AD161" s="21"/>
      <c r="AE161" s="21"/>
      <c r="AF161" s="21"/>
      <c r="AG161" s="21"/>
      <c r="AH161" s="21"/>
      <c r="AI161" s="21"/>
      <c r="AJ161" s="21"/>
      <c r="AK161" s="21"/>
      <c r="AL161" s="21"/>
      <c r="AM161" s="21"/>
      <c r="AN161" s="21"/>
      <c r="AO161" s="21"/>
      <c r="AP161" s="21"/>
      <c r="AQ161" s="21"/>
    </row>
    <row r="162" spans="1:43" ht="15.75" customHeight="1">
      <c r="A162" s="441" t="s">
        <v>1364</v>
      </c>
      <c r="B162" s="32" t="s">
        <v>1365</v>
      </c>
      <c r="C162" s="247" t="s">
        <v>170</v>
      </c>
      <c r="D162" s="232"/>
      <c r="E162" s="58"/>
      <c r="F162" s="16" t="s">
        <v>1366</v>
      </c>
      <c r="G162" s="32" t="s">
        <v>1367</v>
      </c>
      <c r="H162" s="95" t="s">
        <v>1368</v>
      </c>
      <c r="I162" s="43" t="s">
        <v>1369</v>
      </c>
      <c r="J162" s="22"/>
      <c r="K162" s="22"/>
      <c r="L162" s="22"/>
      <c r="M162" s="53" t="s">
        <v>91</v>
      </c>
      <c r="N162" s="54" t="s">
        <v>1370</v>
      </c>
      <c r="O162" s="54"/>
      <c r="P162" s="55"/>
      <c r="Q162" s="56"/>
      <c r="R162" s="39" t="s">
        <v>49</v>
      </c>
      <c r="S162" s="32" t="s">
        <v>41</v>
      </c>
      <c r="T162" s="21"/>
      <c r="U162" s="28"/>
      <c r="V162" s="28"/>
      <c r="W162" s="29"/>
      <c r="X162" s="29"/>
      <c r="Y162" s="30"/>
      <c r="Z162" s="30"/>
      <c r="AA162" s="30"/>
      <c r="AB162" s="41"/>
      <c r="AC162" s="32"/>
      <c r="AD162" s="32"/>
      <c r="AE162" s="32"/>
      <c r="AF162" s="32"/>
      <c r="AG162" s="32"/>
      <c r="AH162" s="32"/>
      <c r="AI162" s="32"/>
      <c r="AJ162" s="32"/>
      <c r="AK162" s="32"/>
      <c r="AL162" s="32"/>
      <c r="AM162" s="32"/>
      <c r="AN162" s="32"/>
      <c r="AO162" s="32"/>
      <c r="AP162" s="32"/>
      <c r="AQ162" s="32"/>
    </row>
    <row r="163" spans="1:43" ht="15.75" customHeight="1">
      <c r="A163" s="441" t="s">
        <v>1371</v>
      </c>
      <c r="B163" s="14" t="s">
        <v>43</v>
      </c>
      <c r="C163" s="247" t="s">
        <v>170</v>
      </c>
      <c r="D163" s="232"/>
      <c r="E163" s="58"/>
      <c r="F163" s="47" t="s">
        <v>1372</v>
      </c>
      <c r="G163" s="32"/>
      <c r="H163" s="48" t="s">
        <v>1373</v>
      </c>
      <c r="I163" s="43" t="s">
        <v>1374</v>
      </c>
      <c r="J163" s="22"/>
      <c r="K163" s="93"/>
      <c r="L163" s="22" t="s">
        <v>1375</v>
      </c>
      <c r="M163" s="53" t="s">
        <v>649</v>
      </c>
      <c r="N163" s="73" t="s">
        <v>1376</v>
      </c>
      <c r="O163" s="73"/>
      <c r="P163" s="74"/>
      <c r="Q163" s="75"/>
      <c r="R163" s="96" t="s">
        <v>537</v>
      </c>
      <c r="S163" s="32" t="s">
        <v>41</v>
      </c>
      <c r="T163" s="21"/>
      <c r="U163" s="28"/>
      <c r="V163" s="28"/>
      <c r="W163" s="29"/>
      <c r="X163" s="29"/>
      <c r="Y163" s="30"/>
      <c r="Z163" s="30" t="s">
        <v>1377</v>
      </c>
      <c r="AA163" s="30" t="s">
        <v>1378</v>
      </c>
      <c r="AB163" s="41"/>
      <c r="AC163" s="32"/>
      <c r="AD163" s="32"/>
      <c r="AE163" s="32"/>
      <c r="AF163" s="32"/>
      <c r="AG163" s="32"/>
      <c r="AH163" s="32"/>
      <c r="AI163" s="32"/>
      <c r="AJ163" s="32"/>
      <c r="AK163" s="32"/>
      <c r="AL163" s="32"/>
      <c r="AM163" s="32"/>
      <c r="AN163" s="32"/>
      <c r="AO163" s="32"/>
      <c r="AP163" s="32"/>
      <c r="AQ163" s="32"/>
    </row>
    <row r="164" spans="1:43" ht="15.75" customHeight="1">
      <c r="A164" s="441" t="s">
        <v>1379</v>
      </c>
      <c r="B164" s="14" t="s">
        <v>43</v>
      </c>
      <c r="C164" s="247" t="s">
        <v>170</v>
      </c>
      <c r="D164" s="232"/>
      <c r="E164" s="58"/>
      <c r="F164" s="16" t="s">
        <v>1380</v>
      </c>
      <c r="G164" s="32"/>
      <c r="H164" s="48" t="s">
        <v>1381</v>
      </c>
      <c r="I164" s="43" t="s">
        <v>1382</v>
      </c>
      <c r="J164" s="22"/>
      <c r="K164" s="22"/>
      <c r="L164" s="22" t="s">
        <v>1383</v>
      </c>
      <c r="M164" s="135" t="s">
        <v>649</v>
      </c>
      <c r="N164" s="73" t="s">
        <v>1384</v>
      </c>
      <c r="O164" s="73" t="s">
        <v>1385</v>
      </c>
      <c r="P164" s="74"/>
      <c r="Q164" s="75" t="s">
        <v>1386</v>
      </c>
      <c r="R164" s="39" t="s">
        <v>517</v>
      </c>
      <c r="S164" s="32" t="s">
        <v>383</v>
      </c>
      <c r="T164" s="21"/>
      <c r="U164" s="28"/>
      <c r="V164" s="28"/>
      <c r="W164" s="29"/>
      <c r="X164" s="29"/>
      <c r="Y164" s="30" t="s">
        <v>1387</v>
      </c>
      <c r="Z164" s="30" t="s">
        <v>1388</v>
      </c>
      <c r="AA164" s="30" t="s">
        <v>1389</v>
      </c>
      <c r="AB164" s="41"/>
      <c r="AC164" s="32"/>
      <c r="AD164" s="32"/>
      <c r="AE164" s="32"/>
      <c r="AF164" s="32"/>
      <c r="AG164" s="32"/>
      <c r="AH164" s="32"/>
      <c r="AI164" s="32"/>
      <c r="AJ164" s="32"/>
      <c r="AK164" s="32"/>
      <c r="AL164" s="32"/>
      <c r="AM164" s="32"/>
      <c r="AN164" s="32"/>
      <c r="AO164" s="32"/>
      <c r="AP164" s="32"/>
      <c r="AQ164" s="32"/>
    </row>
    <row r="165" spans="1:43" ht="15.75" customHeight="1">
      <c r="A165" s="441" t="s">
        <v>1390</v>
      </c>
      <c r="B165" s="32" t="s">
        <v>1391</v>
      </c>
      <c r="C165" s="247" t="s">
        <v>170</v>
      </c>
      <c r="D165" s="232"/>
      <c r="E165" s="58"/>
      <c r="F165" s="16" t="s">
        <v>1392</v>
      </c>
      <c r="G165" s="32" t="s">
        <v>1393</v>
      </c>
      <c r="H165" s="48" t="s">
        <v>1394</v>
      </c>
      <c r="I165" s="43" t="s">
        <v>118</v>
      </c>
      <c r="J165" s="22"/>
      <c r="K165" s="82"/>
      <c r="L165" s="82"/>
      <c r="M165" s="53" t="s">
        <v>91</v>
      </c>
      <c r="N165" s="54" t="s">
        <v>1395</v>
      </c>
      <c r="O165" s="54"/>
      <c r="P165" s="55"/>
      <c r="Q165" s="56"/>
      <c r="R165" s="39" t="s">
        <v>49</v>
      </c>
      <c r="S165" s="32" t="s">
        <v>41</v>
      </c>
      <c r="T165" s="21"/>
      <c r="U165" s="28"/>
      <c r="V165" s="28"/>
      <c r="W165" s="29"/>
      <c r="X165" s="29"/>
      <c r="Y165" s="30"/>
      <c r="Z165" s="30"/>
      <c r="AA165" s="30"/>
      <c r="AB165" s="41"/>
      <c r="AC165" s="32"/>
      <c r="AD165" s="32"/>
      <c r="AE165" s="32"/>
      <c r="AF165" s="32"/>
      <c r="AG165" s="32"/>
      <c r="AH165" s="32"/>
      <c r="AI165" s="32"/>
      <c r="AJ165" s="32"/>
      <c r="AK165" s="32"/>
      <c r="AL165" s="32"/>
      <c r="AM165" s="32"/>
      <c r="AN165" s="32"/>
      <c r="AO165" s="32"/>
      <c r="AP165" s="32"/>
      <c r="AQ165" s="32"/>
    </row>
    <row r="166" spans="1:43" ht="15.75" customHeight="1">
      <c r="A166" s="454" t="s">
        <v>1396</v>
      </c>
      <c r="B166" s="51" t="s">
        <v>466</v>
      </c>
      <c r="C166" s="247" t="s">
        <v>170</v>
      </c>
      <c r="D166" s="235"/>
      <c r="E166" s="58"/>
      <c r="F166" s="88" t="s">
        <v>1397</v>
      </c>
      <c r="G166" s="21" t="s">
        <v>1398</v>
      </c>
      <c r="H166" s="152" t="s">
        <v>1399</v>
      </c>
      <c r="I166" s="125" t="s">
        <v>1400</v>
      </c>
      <c r="J166" s="107" t="s">
        <v>1338</v>
      </c>
      <c r="K166" s="35"/>
      <c r="L166" s="35"/>
      <c r="M166" s="125" t="s">
        <v>1204</v>
      </c>
      <c r="N166" s="134" t="s">
        <v>1401</v>
      </c>
      <c r="O166" s="134"/>
      <c r="P166" s="112"/>
      <c r="Q166" s="56"/>
      <c r="R166" s="142" t="s">
        <v>1053</v>
      </c>
      <c r="S166" s="21" t="s">
        <v>41</v>
      </c>
      <c r="T166" s="21"/>
      <c r="U166" s="28" t="s">
        <v>1054</v>
      </c>
      <c r="V166" s="143" t="s">
        <v>1402</v>
      </c>
      <c r="W166" s="29"/>
      <c r="X166" s="29"/>
      <c r="Y166" s="30" t="s">
        <v>1403</v>
      </c>
      <c r="Z166" s="30"/>
      <c r="AA166" s="30"/>
      <c r="AB166" s="31" t="s">
        <v>1056</v>
      </c>
      <c r="AC166" s="21" t="s">
        <v>1209</v>
      </c>
      <c r="AD166" s="21"/>
      <c r="AE166" s="21"/>
      <c r="AF166" s="21"/>
      <c r="AG166" s="21"/>
      <c r="AH166" s="21"/>
      <c r="AI166" s="21"/>
      <c r="AJ166" s="21"/>
      <c r="AK166" s="21"/>
      <c r="AL166" s="21"/>
      <c r="AM166" s="21"/>
      <c r="AN166" s="21"/>
      <c r="AO166" s="21"/>
      <c r="AP166" s="21"/>
      <c r="AQ166" s="21"/>
    </row>
    <row r="167" spans="1:43" ht="15.75" customHeight="1">
      <c r="A167" s="454" t="s">
        <v>1404</v>
      </c>
      <c r="B167" s="51" t="s">
        <v>466</v>
      </c>
      <c r="C167" s="247" t="s">
        <v>170</v>
      </c>
      <c r="D167" s="235"/>
      <c r="E167" s="58"/>
      <c r="F167" s="88" t="s">
        <v>1405</v>
      </c>
      <c r="G167" s="21"/>
      <c r="H167" s="119" t="s">
        <v>1406</v>
      </c>
      <c r="I167" s="125" t="s">
        <v>1407</v>
      </c>
      <c r="J167" s="22"/>
      <c r="K167" s="82"/>
      <c r="L167" s="82"/>
      <c r="M167" s="15" t="s">
        <v>175</v>
      </c>
      <c r="N167" s="134" t="s">
        <v>3971</v>
      </c>
      <c r="O167" s="134"/>
      <c r="P167" s="153" t="s">
        <v>1408</v>
      </c>
      <c r="Q167" s="56" t="s">
        <v>1409</v>
      </c>
      <c r="R167" s="39" t="s">
        <v>3972</v>
      </c>
      <c r="S167" s="21" t="s">
        <v>41</v>
      </c>
      <c r="T167" s="21"/>
      <c r="U167" s="28"/>
      <c r="V167" s="28"/>
      <c r="W167" s="29"/>
      <c r="X167" s="29"/>
      <c r="Y167" s="30"/>
      <c r="Z167" s="30"/>
      <c r="AA167" s="30"/>
      <c r="AB167" s="41"/>
      <c r="AC167" s="21" t="s">
        <v>1410</v>
      </c>
      <c r="AD167" s="21"/>
      <c r="AE167" s="21"/>
      <c r="AF167" s="21"/>
      <c r="AG167" s="21"/>
      <c r="AH167" s="21"/>
      <c r="AI167" s="21"/>
      <c r="AJ167" s="21"/>
      <c r="AK167" s="21"/>
      <c r="AL167" s="21"/>
      <c r="AM167" s="21"/>
      <c r="AN167" s="21"/>
      <c r="AO167" s="21"/>
      <c r="AP167" s="21"/>
      <c r="AQ167" s="21"/>
    </row>
    <row r="168" spans="1:43" ht="15.75" customHeight="1">
      <c r="A168" s="454" t="s">
        <v>1411</v>
      </c>
      <c r="B168" s="51" t="s">
        <v>466</v>
      </c>
      <c r="C168" s="247" t="s">
        <v>170</v>
      </c>
      <c r="D168" s="235"/>
      <c r="E168" s="58"/>
      <c r="F168" s="88" t="s">
        <v>1412</v>
      </c>
      <c r="G168" s="21" t="s">
        <v>1413</v>
      </c>
      <c r="H168" s="152" t="s">
        <v>1414</v>
      </c>
      <c r="I168" s="125" t="s">
        <v>1415</v>
      </c>
      <c r="J168" s="22" t="s">
        <v>1338</v>
      </c>
      <c r="K168" s="35"/>
      <c r="L168" s="35"/>
      <c r="M168" s="125" t="s">
        <v>1051</v>
      </c>
      <c r="N168" s="141" t="s">
        <v>1264</v>
      </c>
      <c r="O168" s="141"/>
      <c r="P168" s="74"/>
      <c r="Q168" s="75"/>
      <c r="R168" s="142" t="s">
        <v>1053</v>
      </c>
      <c r="S168" s="21" t="s">
        <v>41</v>
      </c>
      <c r="T168" s="21"/>
      <c r="U168" s="28" t="s">
        <v>1054</v>
      </c>
      <c r="V168" s="143" t="s">
        <v>1416</v>
      </c>
      <c r="W168" s="29"/>
      <c r="X168" s="29"/>
      <c r="Y168" s="30" t="s">
        <v>1417</v>
      </c>
      <c r="Z168" s="30"/>
      <c r="AA168" s="30"/>
      <c r="AB168" s="31" t="s">
        <v>1056</v>
      </c>
      <c r="AC168" s="21" t="s">
        <v>1209</v>
      </c>
      <c r="AD168" s="21"/>
      <c r="AE168" s="21"/>
      <c r="AF168" s="21"/>
      <c r="AG168" s="21"/>
      <c r="AH168" s="21"/>
      <c r="AI168" s="21"/>
      <c r="AJ168" s="21"/>
      <c r="AK168" s="21"/>
      <c r="AL168" s="21"/>
      <c r="AM168" s="21"/>
      <c r="AN168" s="21"/>
      <c r="AO168" s="21"/>
      <c r="AP168" s="21"/>
      <c r="AQ168" s="21"/>
    </row>
    <row r="169" spans="1:43" ht="15.75" customHeight="1">
      <c r="A169" s="441" t="s">
        <v>3856</v>
      </c>
      <c r="B169" s="33" t="s">
        <v>43</v>
      </c>
      <c r="C169" s="246" t="s">
        <v>1418</v>
      </c>
      <c r="D169" s="232"/>
      <c r="E169" s="58"/>
      <c r="F169" s="16" t="s">
        <v>1419</v>
      </c>
      <c r="G169" s="32"/>
      <c r="H169" s="48" t="s">
        <v>1420</v>
      </c>
      <c r="I169" s="43" t="s">
        <v>1421</v>
      </c>
      <c r="J169" s="82"/>
      <c r="K169" s="82"/>
      <c r="L169" s="22"/>
      <c r="M169" s="154" t="s">
        <v>1422</v>
      </c>
      <c r="N169" s="54" t="s">
        <v>1423</v>
      </c>
      <c r="O169" s="54" t="s">
        <v>1424</v>
      </c>
      <c r="P169" s="55"/>
      <c r="Q169" s="56" t="s">
        <v>1425</v>
      </c>
      <c r="R169" s="39" t="s">
        <v>517</v>
      </c>
      <c r="S169" s="32" t="s">
        <v>41</v>
      </c>
      <c r="T169" s="21"/>
      <c r="U169" s="28"/>
      <c r="V169" s="28"/>
      <c r="W169" s="29"/>
      <c r="X169" s="29"/>
      <c r="Y169" s="30" t="s">
        <v>1426</v>
      </c>
      <c r="Z169" s="30" t="s">
        <v>1427</v>
      </c>
      <c r="AA169" s="30" t="s">
        <v>1428</v>
      </c>
      <c r="AB169" s="41"/>
      <c r="AC169" s="32"/>
      <c r="AD169" s="32"/>
      <c r="AE169" s="32"/>
      <c r="AF169" s="32"/>
      <c r="AG169" s="32"/>
      <c r="AH169" s="32"/>
      <c r="AI169" s="32"/>
      <c r="AJ169" s="32"/>
      <c r="AK169" s="32"/>
      <c r="AL169" s="32"/>
      <c r="AM169" s="32"/>
      <c r="AN169" s="32"/>
      <c r="AO169" s="32"/>
      <c r="AP169" s="32"/>
      <c r="AQ169" s="32"/>
    </row>
    <row r="170" spans="1:43" ht="15.75" customHeight="1">
      <c r="A170" s="441" t="s">
        <v>1429</v>
      </c>
      <c r="B170" s="32" t="s">
        <v>1430</v>
      </c>
      <c r="C170" s="247" t="s">
        <v>170</v>
      </c>
      <c r="D170" s="232"/>
      <c r="E170" s="58"/>
      <c r="F170" s="16" t="s">
        <v>1431</v>
      </c>
      <c r="G170" s="32"/>
      <c r="H170" s="48" t="s">
        <v>1432</v>
      </c>
      <c r="I170" s="43" t="s">
        <v>1433</v>
      </c>
      <c r="J170" s="35"/>
      <c r="K170" s="22"/>
      <c r="L170" s="22" t="s">
        <v>1434</v>
      </c>
      <c r="M170" s="154" t="s">
        <v>1435</v>
      </c>
      <c r="N170" s="54" t="s">
        <v>1436</v>
      </c>
      <c r="O170" s="54"/>
      <c r="P170" s="55"/>
      <c r="Q170" s="56"/>
      <c r="R170" s="96" t="s">
        <v>382</v>
      </c>
      <c r="S170" s="32" t="s">
        <v>41</v>
      </c>
      <c r="T170" s="21"/>
      <c r="U170" s="28"/>
      <c r="V170" s="28"/>
      <c r="W170" s="29"/>
      <c r="X170" s="29"/>
      <c r="Y170" s="30"/>
      <c r="Z170" s="30"/>
      <c r="AA170" s="30"/>
      <c r="AB170" s="41"/>
      <c r="AC170" s="32"/>
      <c r="AD170" s="32"/>
      <c r="AE170" s="32"/>
      <c r="AF170" s="32"/>
      <c r="AG170" s="32"/>
      <c r="AH170" s="32"/>
      <c r="AI170" s="32"/>
      <c r="AJ170" s="32"/>
      <c r="AK170" s="32"/>
      <c r="AL170" s="32"/>
      <c r="AM170" s="32"/>
      <c r="AN170" s="32"/>
      <c r="AO170" s="32"/>
      <c r="AP170" s="32"/>
      <c r="AQ170" s="32"/>
    </row>
    <row r="171" spans="1:43" ht="15.75" customHeight="1">
      <c r="A171" s="441" t="s">
        <v>1437</v>
      </c>
      <c r="B171" s="33" t="s">
        <v>43</v>
      </c>
      <c r="C171" s="250" t="s">
        <v>170</v>
      </c>
      <c r="D171" s="232"/>
      <c r="E171" s="58"/>
      <c r="F171" s="47" t="s">
        <v>1438</v>
      </c>
      <c r="G171" s="32" t="s">
        <v>1439</v>
      </c>
      <c r="H171" s="48" t="s">
        <v>1440</v>
      </c>
      <c r="I171" s="43" t="s">
        <v>1441</v>
      </c>
      <c r="J171" s="82"/>
      <c r="K171" s="82"/>
      <c r="L171" s="22"/>
      <c r="M171" s="36" t="s">
        <v>1442</v>
      </c>
      <c r="N171" s="54" t="s">
        <v>1443</v>
      </c>
      <c r="O171" s="54"/>
      <c r="P171" s="55"/>
      <c r="Q171" s="56"/>
      <c r="R171" s="94" t="s">
        <v>1095</v>
      </c>
      <c r="S171" s="32" t="s">
        <v>41</v>
      </c>
      <c r="T171" s="21"/>
      <c r="U171" s="28"/>
      <c r="V171" s="28"/>
      <c r="W171" s="29"/>
      <c r="X171" s="29"/>
      <c r="Y171" s="30" t="s">
        <v>1444</v>
      </c>
      <c r="Z171" s="30"/>
      <c r="AA171" s="30"/>
      <c r="AB171" s="41"/>
      <c r="AC171" s="32"/>
      <c r="AD171" s="32"/>
      <c r="AE171" s="32"/>
      <c r="AF171" s="32"/>
      <c r="AG171" s="32"/>
      <c r="AH171" s="32"/>
      <c r="AI171" s="32"/>
      <c r="AJ171" s="32"/>
      <c r="AK171" s="32"/>
      <c r="AL171" s="32"/>
      <c r="AM171" s="32"/>
      <c r="AN171" s="32"/>
      <c r="AO171" s="32"/>
      <c r="AP171" s="32"/>
      <c r="AQ171" s="32"/>
    </row>
    <row r="172" spans="1:43" ht="15.75" customHeight="1">
      <c r="A172" s="441" t="s">
        <v>1445</v>
      </c>
      <c r="B172" s="14" t="s">
        <v>1446</v>
      </c>
      <c r="C172" s="250" t="s">
        <v>170</v>
      </c>
      <c r="D172" s="232"/>
      <c r="E172" s="58"/>
      <c r="F172" s="265" t="s">
        <v>1447</v>
      </c>
      <c r="G172" s="32" t="s">
        <v>1448</v>
      </c>
      <c r="H172" s="48" t="s">
        <v>1449</v>
      </c>
      <c r="I172" s="43" t="s">
        <v>1450</v>
      </c>
      <c r="J172" s="35"/>
      <c r="K172" s="82"/>
      <c r="L172" s="82" t="s">
        <v>1434</v>
      </c>
      <c r="M172" s="154" t="s">
        <v>1435</v>
      </c>
      <c r="N172" s="54" t="s">
        <v>1451</v>
      </c>
      <c r="O172" s="54"/>
      <c r="P172" s="55"/>
      <c r="Q172" s="56"/>
      <c r="R172" s="96" t="s">
        <v>382</v>
      </c>
      <c r="S172" s="32" t="s">
        <v>383</v>
      </c>
      <c r="T172" s="21"/>
      <c r="U172" s="28"/>
      <c r="V172" s="28"/>
      <c r="W172" s="29"/>
      <c r="X172" s="29"/>
      <c r="Y172" s="30" t="s">
        <v>1452</v>
      </c>
      <c r="Z172" s="30"/>
      <c r="AA172" s="30"/>
      <c r="AB172" s="41"/>
      <c r="AC172" s="32" t="s">
        <v>599</v>
      </c>
      <c r="AD172" s="32" t="s">
        <v>1453</v>
      </c>
      <c r="AE172" s="32"/>
      <c r="AF172" s="32"/>
      <c r="AG172" s="32"/>
      <c r="AH172" s="32"/>
      <c r="AI172" s="32"/>
      <c r="AJ172" s="32"/>
      <c r="AK172" s="32"/>
      <c r="AL172" s="32"/>
      <c r="AM172" s="32"/>
      <c r="AN172" s="32"/>
      <c r="AO172" s="32"/>
      <c r="AP172" s="32"/>
      <c r="AQ172" s="32"/>
    </row>
    <row r="173" spans="1:43" ht="15.75" customHeight="1">
      <c r="A173" s="454" t="s">
        <v>1454</v>
      </c>
      <c r="B173" s="15" t="s">
        <v>43</v>
      </c>
      <c r="C173" s="247" t="s">
        <v>170</v>
      </c>
      <c r="D173" s="235"/>
      <c r="E173" s="58"/>
      <c r="F173" s="88" t="s">
        <v>1455</v>
      </c>
      <c r="G173" s="21" t="s">
        <v>1456</v>
      </c>
      <c r="H173" s="119" t="s">
        <v>1457</v>
      </c>
      <c r="I173" s="125" t="s">
        <v>1458</v>
      </c>
      <c r="J173" s="103" t="s">
        <v>1459</v>
      </c>
      <c r="K173" s="98"/>
      <c r="L173" s="35"/>
      <c r="M173" s="109" t="s">
        <v>1460</v>
      </c>
      <c r="N173" s="134" t="s">
        <v>1461</v>
      </c>
      <c r="O173" s="134"/>
      <c r="P173" s="55"/>
      <c r="Q173" s="56"/>
      <c r="R173" s="142" t="s">
        <v>1053</v>
      </c>
      <c r="S173" s="21" t="s">
        <v>41</v>
      </c>
      <c r="T173" s="21"/>
      <c r="U173" s="28" t="s">
        <v>1054</v>
      </c>
      <c r="V173" s="143" t="s">
        <v>1462</v>
      </c>
      <c r="W173" s="29"/>
      <c r="X173" s="29"/>
      <c r="Y173" s="30" t="s">
        <v>1463</v>
      </c>
      <c r="Z173" s="30"/>
      <c r="AA173" s="30"/>
      <c r="AB173" s="155" t="s">
        <v>1464</v>
      </c>
      <c r="AC173" s="21" t="s">
        <v>1209</v>
      </c>
      <c r="AD173" s="21"/>
      <c r="AE173" s="21"/>
      <c r="AF173" s="21"/>
      <c r="AG173" s="21"/>
      <c r="AH173" s="21"/>
      <c r="AI173" s="21"/>
      <c r="AJ173" s="21"/>
      <c r="AK173" s="21"/>
      <c r="AL173" s="21"/>
      <c r="AM173" s="21"/>
      <c r="AN173" s="21"/>
      <c r="AO173" s="21"/>
      <c r="AP173" s="21"/>
      <c r="AQ173" s="21"/>
    </row>
    <row r="174" spans="1:43" ht="15.75" customHeight="1">
      <c r="A174" s="442" t="s">
        <v>1465</v>
      </c>
      <c r="B174" s="14" t="s">
        <v>43</v>
      </c>
      <c r="C174" s="246" t="s">
        <v>1466</v>
      </c>
      <c r="D174" s="232"/>
      <c r="E174" s="58"/>
      <c r="F174" s="16" t="s">
        <v>1467</v>
      </c>
      <c r="G174" s="32"/>
      <c r="H174" s="40" t="s">
        <v>1468</v>
      </c>
      <c r="I174" s="43" t="s">
        <v>118</v>
      </c>
      <c r="J174" s="98"/>
      <c r="K174" s="82"/>
      <c r="L174" s="22"/>
      <c r="M174" s="125" t="s">
        <v>91</v>
      </c>
      <c r="N174" s="54" t="s">
        <v>1469</v>
      </c>
      <c r="O174" s="394"/>
      <c r="P174" s="112"/>
      <c r="Q174" s="121"/>
      <c r="R174" s="39" t="s">
        <v>49</v>
      </c>
      <c r="S174" s="32" t="s">
        <v>41</v>
      </c>
      <c r="T174" s="21"/>
      <c r="U174" s="28"/>
      <c r="V174" s="28"/>
      <c r="W174" s="29"/>
      <c r="X174" s="29"/>
      <c r="Y174" s="30"/>
      <c r="Z174" s="30"/>
      <c r="AA174" s="30"/>
      <c r="AB174" s="41"/>
      <c r="AC174" s="32"/>
      <c r="AD174" s="32"/>
      <c r="AE174" s="32"/>
      <c r="AF174" s="32"/>
      <c r="AG174" s="32"/>
      <c r="AH174" s="32"/>
      <c r="AI174" s="32"/>
      <c r="AJ174" s="32"/>
      <c r="AK174" s="32"/>
      <c r="AL174" s="32"/>
      <c r="AM174" s="32"/>
      <c r="AN174" s="32"/>
      <c r="AO174" s="32"/>
      <c r="AP174" s="32"/>
      <c r="AQ174" s="32"/>
    </row>
    <row r="175" spans="1:43" ht="15.75" customHeight="1">
      <c r="A175" s="441" t="s">
        <v>3855</v>
      </c>
      <c r="B175" s="33" t="s">
        <v>43</v>
      </c>
      <c r="C175" s="246" t="s">
        <v>1470</v>
      </c>
      <c r="D175" s="232"/>
      <c r="E175" s="58"/>
      <c r="F175" s="16" t="s">
        <v>1471</v>
      </c>
      <c r="G175" s="32"/>
      <c r="H175" s="32" t="s">
        <v>1472</v>
      </c>
      <c r="I175" s="43" t="s">
        <v>1473</v>
      </c>
      <c r="J175" s="98"/>
      <c r="K175" s="82"/>
      <c r="L175" s="82" t="s">
        <v>1474</v>
      </c>
      <c r="M175" s="53" t="s">
        <v>1475</v>
      </c>
      <c r="N175" s="54" t="s">
        <v>1476</v>
      </c>
      <c r="O175" s="54"/>
      <c r="P175" s="55"/>
      <c r="Q175" s="56"/>
      <c r="R175" s="296" t="s">
        <v>370</v>
      </c>
      <c r="S175" s="32" t="s">
        <v>41</v>
      </c>
      <c r="T175" s="21" t="s">
        <v>1477</v>
      </c>
      <c r="U175" s="28"/>
      <c r="V175" s="28"/>
      <c r="W175" s="29"/>
      <c r="X175" s="29"/>
      <c r="Y175" s="30"/>
      <c r="Z175" s="30"/>
      <c r="AA175" s="30"/>
      <c r="AB175" s="41"/>
      <c r="AC175" s="32"/>
      <c r="AD175" s="32"/>
      <c r="AE175" s="32"/>
      <c r="AF175" s="32"/>
      <c r="AG175" s="32"/>
      <c r="AH175" s="32"/>
      <c r="AI175" s="32"/>
      <c r="AJ175" s="32"/>
      <c r="AK175" s="32"/>
      <c r="AL175" s="32"/>
      <c r="AM175" s="32"/>
      <c r="AN175" s="32"/>
      <c r="AO175" s="32"/>
      <c r="AP175" s="32"/>
      <c r="AQ175" s="32"/>
    </row>
    <row r="176" spans="1:43" ht="15.75" customHeight="1">
      <c r="A176" s="441" t="s">
        <v>3854</v>
      </c>
      <c r="B176" s="33" t="s">
        <v>43</v>
      </c>
      <c r="C176" s="246" t="s">
        <v>1470</v>
      </c>
      <c r="D176" s="232"/>
      <c r="E176" s="58"/>
      <c r="F176" s="47" t="s">
        <v>1478</v>
      </c>
      <c r="G176" s="32"/>
      <c r="H176" s="95" t="s">
        <v>1479</v>
      </c>
      <c r="I176" s="43" t="s">
        <v>1480</v>
      </c>
      <c r="J176" s="98"/>
      <c r="K176" s="82"/>
      <c r="L176" s="82" t="s">
        <v>1474</v>
      </c>
      <c r="M176" s="53" t="s">
        <v>1481</v>
      </c>
      <c r="N176" s="54" t="s">
        <v>1482</v>
      </c>
      <c r="O176" s="54"/>
      <c r="P176" s="55"/>
      <c r="Q176" s="56"/>
      <c r="R176" s="39" t="s">
        <v>370</v>
      </c>
      <c r="S176" s="32" t="s">
        <v>41</v>
      </c>
      <c r="T176" s="21"/>
      <c r="U176" s="28"/>
      <c r="V176" s="28"/>
      <c r="W176" s="29"/>
      <c r="X176" s="29"/>
      <c r="Y176" s="30"/>
      <c r="Z176" s="30"/>
      <c r="AA176" s="30"/>
      <c r="AB176" s="41"/>
      <c r="AC176" s="32"/>
      <c r="AD176" s="32"/>
      <c r="AE176" s="32"/>
      <c r="AF176" s="32"/>
      <c r="AG176" s="32"/>
      <c r="AH176" s="32"/>
      <c r="AI176" s="32"/>
      <c r="AJ176" s="32"/>
      <c r="AK176" s="32"/>
      <c r="AL176" s="32"/>
      <c r="AM176" s="32"/>
      <c r="AN176" s="32"/>
      <c r="AO176" s="32"/>
      <c r="AP176" s="32"/>
      <c r="AQ176" s="32"/>
    </row>
    <row r="177" spans="1:43" s="350" customFormat="1" ht="15.75" customHeight="1">
      <c r="A177" s="454" t="s">
        <v>3853</v>
      </c>
      <c r="B177" s="15" t="s">
        <v>466</v>
      </c>
      <c r="C177" s="253" t="s">
        <v>1483</v>
      </c>
      <c r="D177" s="235"/>
      <c r="E177" s="58"/>
      <c r="F177" s="21" t="s">
        <v>1089</v>
      </c>
      <c r="G177" s="21" t="s">
        <v>1484</v>
      </c>
      <c r="H177" s="119" t="s">
        <v>1485</v>
      </c>
      <c r="I177" s="125" t="s">
        <v>1486</v>
      </c>
      <c r="J177" s="107" t="s">
        <v>1487</v>
      </c>
      <c r="K177" s="98"/>
      <c r="L177" s="98"/>
      <c r="M177" s="15" t="s">
        <v>1488</v>
      </c>
      <c r="N177" s="131" t="s">
        <v>1489</v>
      </c>
      <c r="O177" s="141"/>
      <c r="P177" s="74"/>
      <c r="Q177" s="75"/>
      <c r="R177" s="142" t="s">
        <v>1053</v>
      </c>
      <c r="S177" s="21" t="s">
        <v>41</v>
      </c>
      <c r="T177" s="21" t="s">
        <v>1490</v>
      </c>
      <c r="U177" s="28" t="s">
        <v>1054</v>
      </c>
      <c r="V177" s="143" t="s">
        <v>1491</v>
      </c>
      <c r="W177" s="29"/>
      <c r="X177" s="29"/>
      <c r="Y177" s="30" t="s">
        <v>1492</v>
      </c>
      <c r="Z177" s="30"/>
      <c r="AA177" s="30"/>
      <c r="AB177" s="31" t="s">
        <v>1056</v>
      </c>
      <c r="AC177" s="21" t="s">
        <v>1209</v>
      </c>
      <c r="AD177" s="21"/>
      <c r="AE177" s="345"/>
      <c r="AF177" s="345"/>
      <c r="AG177" s="345"/>
      <c r="AH177" s="345"/>
      <c r="AI177" s="345"/>
      <c r="AJ177" s="345"/>
      <c r="AK177" s="345"/>
      <c r="AL177" s="345"/>
      <c r="AM177" s="345"/>
      <c r="AN177" s="345"/>
      <c r="AO177" s="345"/>
      <c r="AP177" s="345"/>
      <c r="AQ177" s="345"/>
    </row>
    <row r="178" spans="1:43" ht="15.75" customHeight="1">
      <c r="A178" s="452" t="s">
        <v>1493</v>
      </c>
      <c r="B178" s="15" t="s">
        <v>466</v>
      </c>
      <c r="C178" s="253" t="s">
        <v>1494</v>
      </c>
      <c r="D178" s="235"/>
      <c r="E178" s="58"/>
      <c r="F178" s="21" t="s">
        <v>1089</v>
      </c>
      <c r="G178" s="21" t="s">
        <v>1495</v>
      </c>
      <c r="H178" s="119" t="s">
        <v>1496</v>
      </c>
      <c r="I178" s="125" t="s">
        <v>1497</v>
      </c>
      <c r="J178" s="107" t="s">
        <v>1498</v>
      </c>
      <c r="K178" s="35"/>
      <c r="L178" s="35"/>
      <c r="M178" s="15" t="s">
        <v>1339</v>
      </c>
      <c r="N178" s="141" t="s">
        <v>1499</v>
      </c>
      <c r="O178" s="141"/>
      <c r="P178" s="74"/>
      <c r="Q178" s="75"/>
      <c r="R178" s="142" t="s">
        <v>1053</v>
      </c>
      <c r="S178" s="21" t="s">
        <v>41</v>
      </c>
      <c r="T178" s="21" t="s">
        <v>1500</v>
      </c>
      <c r="U178" s="28" t="s">
        <v>1054</v>
      </c>
      <c r="V178" s="143" t="s">
        <v>1501</v>
      </c>
      <c r="W178" s="29"/>
      <c r="X178" s="29"/>
      <c r="Y178" s="30" t="s">
        <v>1502</v>
      </c>
      <c r="Z178" s="30"/>
      <c r="AA178" s="30"/>
      <c r="AB178" s="31" t="s">
        <v>1056</v>
      </c>
      <c r="AC178" s="21" t="s">
        <v>1209</v>
      </c>
      <c r="AD178" s="21"/>
      <c r="AE178" s="21"/>
      <c r="AF178" s="21"/>
      <c r="AG178" s="21"/>
      <c r="AH178" s="21"/>
      <c r="AI178" s="21"/>
      <c r="AJ178" s="21"/>
      <c r="AK178" s="21"/>
      <c r="AL178" s="21"/>
      <c r="AM178" s="21"/>
      <c r="AN178" s="21"/>
      <c r="AO178" s="21"/>
      <c r="AP178" s="21"/>
      <c r="AQ178" s="21"/>
    </row>
    <row r="179" spans="1:43" ht="15.75" customHeight="1">
      <c r="A179" s="454" t="s">
        <v>1503</v>
      </c>
      <c r="B179" s="15" t="s">
        <v>429</v>
      </c>
      <c r="C179" s="247" t="s">
        <v>170</v>
      </c>
      <c r="D179" s="235"/>
      <c r="E179" s="58"/>
      <c r="F179" s="88" t="s">
        <v>1504</v>
      </c>
      <c r="G179" s="21" t="s">
        <v>1505</v>
      </c>
      <c r="H179" s="109" t="s">
        <v>1506</v>
      </c>
      <c r="I179" s="125" t="s">
        <v>1507</v>
      </c>
      <c r="J179" s="82"/>
      <c r="K179" s="82"/>
      <c r="L179" s="82"/>
      <c r="M179" s="43" t="s">
        <v>1079</v>
      </c>
      <c r="N179" s="65" t="s">
        <v>1508</v>
      </c>
      <c r="O179" s="65"/>
      <c r="P179" s="25"/>
      <c r="Q179" s="26"/>
      <c r="R179" s="96" t="s">
        <v>79</v>
      </c>
      <c r="S179" s="21" t="s">
        <v>714</v>
      </c>
      <c r="T179" s="21"/>
      <c r="U179" s="28"/>
      <c r="V179" s="28"/>
      <c r="W179" s="29" t="s">
        <v>715</v>
      </c>
      <c r="X179" s="139" t="s">
        <v>1509</v>
      </c>
      <c r="Y179" s="30" t="s">
        <v>1510</v>
      </c>
      <c r="Z179" s="30"/>
      <c r="AA179" s="30"/>
      <c r="AB179" s="41"/>
      <c r="AC179" s="21" t="s">
        <v>1511</v>
      </c>
      <c r="AD179" s="21"/>
      <c r="AE179" s="21"/>
      <c r="AF179" s="21"/>
      <c r="AG179" s="21"/>
      <c r="AH179" s="21"/>
      <c r="AI179" s="21"/>
      <c r="AJ179" s="21"/>
      <c r="AK179" s="21"/>
      <c r="AL179" s="21"/>
      <c r="AM179" s="21"/>
      <c r="AN179" s="21"/>
      <c r="AO179" s="21"/>
      <c r="AP179" s="21"/>
      <c r="AQ179" s="21"/>
    </row>
    <row r="180" spans="1:43" ht="15.75" customHeight="1">
      <c r="A180" s="452" t="s">
        <v>1512</v>
      </c>
      <c r="B180" s="15" t="s">
        <v>43</v>
      </c>
      <c r="C180" s="253" t="s">
        <v>1513</v>
      </c>
      <c r="D180" s="235"/>
      <c r="E180" s="58"/>
      <c r="F180" s="88" t="s">
        <v>1514</v>
      </c>
      <c r="G180" s="21" t="s">
        <v>1515</v>
      </c>
      <c r="H180" s="119" t="s">
        <v>1516</v>
      </c>
      <c r="I180" s="125" t="s">
        <v>1517</v>
      </c>
      <c r="J180" s="98"/>
      <c r="K180" s="384"/>
      <c r="L180" s="117" t="s">
        <v>1518</v>
      </c>
      <c r="M180" s="15" t="s">
        <v>1339</v>
      </c>
      <c r="N180" s="141" t="s">
        <v>1241</v>
      </c>
      <c r="O180" s="141"/>
      <c r="P180" s="74"/>
      <c r="Q180" s="75"/>
      <c r="R180" s="142" t="s">
        <v>1053</v>
      </c>
      <c r="S180" s="21" t="s">
        <v>41</v>
      </c>
      <c r="T180" s="21"/>
      <c r="U180" s="28"/>
      <c r="V180" s="28"/>
      <c r="W180" s="29"/>
      <c r="X180" s="29"/>
      <c r="Y180" s="30"/>
      <c r="Z180" s="30"/>
      <c r="AA180" s="30"/>
      <c r="AB180" s="41"/>
      <c r="AC180" s="21"/>
      <c r="AD180" s="21"/>
      <c r="AE180" s="21"/>
      <c r="AF180" s="21"/>
      <c r="AG180" s="21"/>
      <c r="AH180" s="21"/>
      <c r="AI180" s="21"/>
      <c r="AJ180" s="21"/>
      <c r="AK180" s="21"/>
      <c r="AL180" s="21"/>
      <c r="AM180" s="21"/>
      <c r="AN180" s="21"/>
      <c r="AO180" s="21"/>
      <c r="AP180" s="21"/>
      <c r="AQ180" s="21"/>
    </row>
    <row r="181" spans="1:43" ht="15.75" customHeight="1">
      <c r="A181" s="454" t="s">
        <v>1519</v>
      </c>
      <c r="B181" s="15" t="s">
        <v>43</v>
      </c>
      <c r="C181" s="247" t="s">
        <v>170</v>
      </c>
      <c r="D181" s="235"/>
      <c r="E181" s="58"/>
      <c r="F181" s="88" t="s">
        <v>1520</v>
      </c>
      <c r="G181" s="21" t="s">
        <v>1521</v>
      </c>
      <c r="H181" s="119" t="s">
        <v>1522</v>
      </c>
      <c r="I181" s="125" t="s">
        <v>1523</v>
      </c>
      <c r="J181" s="98"/>
      <c r="K181" s="82"/>
      <c r="L181" s="22" t="s">
        <v>1518</v>
      </c>
      <c r="M181" s="109" t="s">
        <v>1310</v>
      </c>
      <c r="N181" s="134" t="s">
        <v>1524</v>
      </c>
      <c r="O181" s="134"/>
      <c r="P181" s="55"/>
      <c r="Q181" s="56"/>
      <c r="R181" s="142" t="s">
        <v>1053</v>
      </c>
      <c r="S181" s="21" t="s">
        <v>41</v>
      </c>
      <c r="T181" s="21"/>
      <c r="U181" s="28" t="s">
        <v>1054</v>
      </c>
      <c r="V181" s="143" t="s">
        <v>1525</v>
      </c>
      <c r="W181" s="29"/>
      <c r="X181" s="29"/>
      <c r="Y181" s="30" t="s">
        <v>1526</v>
      </c>
      <c r="Z181" s="30"/>
      <c r="AA181" s="30"/>
      <c r="AB181" s="31" t="s">
        <v>1527</v>
      </c>
      <c r="AC181" s="21" t="s">
        <v>1209</v>
      </c>
      <c r="AD181" s="21"/>
      <c r="AE181" s="21"/>
      <c r="AF181" s="21"/>
      <c r="AG181" s="21"/>
      <c r="AH181" s="21"/>
      <c r="AI181" s="21"/>
      <c r="AJ181" s="21"/>
      <c r="AK181" s="21"/>
      <c r="AL181" s="21"/>
      <c r="AM181" s="21"/>
      <c r="AN181" s="21"/>
      <c r="AO181" s="21"/>
      <c r="AP181" s="21"/>
      <c r="AQ181" s="21"/>
    </row>
    <row r="182" spans="1:43" ht="15.75" customHeight="1">
      <c r="A182" s="441" t="s">
        <v>1528</v>
      </c>
      <c r="B182" s="15" t="s">
        <v>43</v>
      </c>
      <c r="C182" s="247" t="s">
        <v>170</v>
      </c>
      <c r="D182" s="232"/>
      <c r="E182" s="58"/>
      <c r="F182" s="47" t="s">
        <v>1529</v>
      </c>
      <c r="G182" s="32" t="s">
        <v>1530</v>
      </c>
      <c r="H182" s="32" t="s">
        <v>1531</v>
      </c>
      <c r="I182" s="43" t="s">
        <v>1532</v>
      </c>
      <c r="J182" s="98"/>
      <c r="K182" s="103"/>
      <c r="L182" s="107" t="s">
        <v>852</v>
      </c>
      <c r="M182" s="125" t="s">
        <v>1533</v>
      </c>
      <c r="N182" s="73" t="s">
        <v>1534</v>
      </c>
      <c r="O182" s="73" t="s">
        <v>38</v>
      </c>
      <c r="P182" s="74"/>
      <c r="Q182" s="75" t="s">
        <v>39</v>
      </c>
      <c r="R182" s="32" t="s">
        <v>370</v>
      </c>
      <c r="S182" s="32" t="s">
        <v>41</v>
      </c>
      <c r="T182" s="21"/>
      <c r="U182" s="28"/>
      <c r="V182" s="28"/>
      <c r="W182" s="29"/>
      <c r="X182" s="29"/>
      <c r="Y182" s="30"/>
      <c r="Z182" s="30"/>
      <c r="AA182" s="30"/>
      <c r="AB182" s="41"/>
      <c r="AC182" s="32"/>
      <c r="AD182" s="21"/>
      <c r="AE182" s="32"/>
      <c r="AF182" s="32"/>
      <c r="AG182" s="32"/>
      <c r="AH182" s="32"/>
      <c r="AI182" s="32"/>
      <c r="AJ182" s="32"/>
      <c r="AK182" s="32"/>
      <c r="AL182" s="32"/>
      <c r="AM182" s="32"/>
      <c r="AN182" s="32"/>
      <c r="AO182" s="32"/>
      <c r="AP182" s="32"/>
      <c r="AQ182" s="32"/>
    </row>
    <row r="183" spans="1:43" ht="15.75" customHeight="1">
      <c r="A183" s="441" t="s">
        <v>3852</v>
      </c>
      <c r="B183" s="33" t="s">
        <v>43</v>
      </c>
      <c r="C183" s="246" t="s">
        <v>1535</v>
      </c>
      <c r="D183" s="232"/>
      <c r="E183" s="58"/>
      <c r="F183" s="16" t="s">
        <v>1536</v>
      </c>
      <c r="G183" s="39"/>
      <c r="H183" s="48" t="s">
        <v>1537</v>
      </c>
      <c r="I183" s="43" t="s">
        <v>1538</v>
      </c>
      <c r="J183" s="98"/>
      <c r="K183" s="103"/>
      <c r="L183" s="103" t="s">
        <v>1539</v>
      </c>
      <c r="M183" s="36" t="s">
        <v>1540</v>
      </c>
      <c r="N183" s="54" t="s">
        <v>1541</v>
      </c>
      <c r="O183" s="54"/>
      <c r="P183" s="55"/>
      <c r="Q183" s="56"/>
      <c r="R183" s="33" t="s">
        <v>1542</v>
      </c>
      <c r="S183" s="33" t="s">
        <v>383</v>
      </c>
      <c r="T183" s="21" t="s">
        <v>1543</v>
      </c>
      <c r="U183" s="28"/>
      <c r="V183" s="28"/>
      <c r="W183" s="29"/>
      <c r="X183" s="29"/>
      <c r="Y183" s="30"/>
      <c r="Z183" s="30"/>
      <c r="AA183" s="30"/>
      <c r="AB183" s="41"/>
      <c r="AC183" s="32"/>
      <c r="AD183" s="21"/>
      <c r="AE183" s="32"/>
      <c r="AF183" s="32"/>
      <c r="AG183" s="32"/>
      <c r="AH183" s="32"/>
      <c r="AI183" s="32"/>
      <c r="AJ183" s="32"/>
      <c r="AK183" s="32"/>
      <c r="AL183" s="32"/>
      <c r="AM183" s="32"/>
      <c r="AN183" s="32"/>
      <c r="AO183" s="32"/>
      <c r="AP183" s="32"/>
      <c r="AQ183" s="32"/>
    </row>
    <row r="184" spans="1:43" ht="15.75" customHeight="1">
      <c r="A184" s="441" t="s">
        <v>3851</v>
      </c>
      <c r="B184" s="33" t="s">
        <v>43</v>
      </c>
      <c r="C184" s="246" t="s">
        <v>1535</v>
      </c>
      <c r="D184" s="232"/>
      <c r="E184" s="58"/>
      <c r="F184" s="16" t="s">
        <v>1544</v>
      </c>
      <c r="G184" s="32"/>
      <c r="H184" s="95" t="s">
        <v>1545</v>
      </c>
      <c r="I184" s="43" t="s">
        <v>1546</v>
      </c>
      <c r="J184" s="98"/>
      <c r="K184" s="103"/>
      <c r="L184" s="107" t="s">
        <v>1547</v>
      </c>
      <c r="M184" s="36" t="s">
        <v>1540</v>
      </c>
      <c r="N184" s="38" t="s">
        <v>1548</v>
      </c>
      <c r="O184" s="38"/>
      <c r="P184" s="55"/>
      <c r="Q184" s="56"/>
      <c r="R184" s="33" t="s">
        <v>1542</v>
      </c>
      <c r="S184" s="95" t="s">
        <v>41</v>
      </c>
      <c r="T184" s="305" t="s">
        <v>1549</v>
      </c>
      <c r="U184" s="28"/>
      <c r="V184" s="28"/>
      <c r="W184" s="29"/>
      <c r="X184" s="29"/>
      <c r="Y184" s="30"/>
      <c r="Z184" s="30"/>
      <c r="AA184" s="30"/>
      <c r="AB184" s="41"/>
      <c r="AC184" s="32"/>
      <c r="AD184" s="32"/>
      <c r="AE184" s="32"/>
      <c r="AF184" s="32"/>
      <c r="AG184" s="32"/>
      <c r="AH184" s="32"/>
      <c r="AI184" s="32"/>
      <c r="AJ184" s="32"/>
      <c r="AK184" s="32"/>
      <c r="AL184" s="32"/>
      <c r="AM184" s="32"/>
      <c r="AN184" s="32"/>
      <c r="AO184" s="32"/>
      <c r="AP184" s="32"/>
      <c r="AQ184" s="32"/>
    </row>
    <row r="185" spans="1:43" ht="15.75" customHeight="1">
      <c r="A185" s="454" t="s">
        <v>1550</v>
      </c>
      <c r="B185" s="15" t="s">
        <v>466</v>
      </c>
      <c r="C185" s="247" t="s">
        <v>170</v>
      </c>
      <c r="D185" s="241"/>
      <c r="E185" s="18"/>
      <c r="F185" s="20" t="s">
        <v>1551</v>
      </c>
      <c r="G185" s="20" t="s">
        <v>1552</v>
      </c>
      <c r="H185" s="119" t="s">
        <v>1553</v>
      </c>
      <c r="I185" s="125" t="s">
        <v>1554</v>
      </c>
      <c r="J185" s="35"/>
      <c r="K185" s="107"/>
      <c r="L185" s="107" t="s">
        <v>1518</v>
      </c>
      <c r="M185" s="15" t="s">
        <v>1555</v>
      </c>
      <c r="N185" s="134" t="s">
        <v>1556</v>
      </c>
      <c r="O185" s="134"/>
      <c r="P185" s="55"/>
      <c r="Q185" s="56"/>
      <c r="R185" s="148" t="s">
        <v>1053</v>
      </c>
      <c r="S185" s="21" t="s">
        <v>41</v>
      </c>
      <c r="T185" s="21"/>
      <c r="U185" s="28" t="s">
        <v>1054</v>
      </c>
      <c r="V185" s="143" t="s">
        <v>1557</v>
      </c>
      <c r="W185" s="29"/>
      <c r="X185" s="29"/>
      <c r="Y185" s="30" t="s">
        <v>1558</v>
      </c>
      <c r="Z185" s="30"/>
      <c r="AA185" s="30"/>
      <c r="AB185" s="46" t="s">
        <v>1559</v>
      </c>
      <c r="AC185" s="21" t="s">
        <v>1209</v>
      </c>
      <c r="AD185" s="21"/>
      <c r="AE185" s="21"/>
      <c r="AF185" s="21"/>
      <c r="AG185" s="21"/>
      <c r="AH185" s="21"/>
      <c r="AI185" s="21"/>
      <c r="AJ185" s="21"/>
      <c r="AK185" s="21"/>
      <c r="AL185" s="21"/>
      <c r="AM185" s="21"/>
      <c r="AN185" s="21"/>
      <c r="AO185" s="21"/>
      <c r="AP185" s="21"/>
      <c r="AQ185" s="21"/>
    </row>
    <row r="186" spans="1:43" ht="15.75" customHeight="1">
      <c r="A186" s="454" t="s">
        <v>1560</v>
      </c>
      <c r="B186" s="15" t="s">
        <v>466</v>
      </c>
      <c r="C186" s="247" t="s">
        <v>170</v>
      </c>
      <c r="D186" s="235"/>
      <c r="E186" s="58"/>
      <c r="F186" s="20" t="s">
        <v>1551</v>
      </c>
      <c r="G186" s="21" t="s">
        <v>1561</v>
      </c>
      <c r="H186" s="21" t="s">
        <v>1562</v>
      </c>
      <c r="I186" s="125" t="s">
        <v>1563</v>
      </c>
      <c r="J186" s="22"/>
      <c r="K186" s="103"/>
      <c r="L186" s="103" t="s">
        <v>1518</v>
      </c>
      <c r="M186" s="15" t="s">
        <v>1310</v>
      </c>
      <c r="N186" s="134" t="s">
        <v>1564</v>
      </c>
      <c r="O186" s="134"/>
      <c r="P186" s="55"/>
      <c r="Q186" s="56"/>
      <c r="R186" s="148" t="s">
        <v>1053</v>
      </c>
      <c r="S186" s="21" t="s">
        <v>41</v>
      </c>
      <c r="T186" s="21"/>
      <c r="U186" s="28" t="s">
        <v>1054</v>
      </c>
      <c r="V186" s="143" t="s">
        <v>1565</v>
      </c>
      <c r="W186" s="29"/>
      <c r="X186" s="29"/>
      <c r="Y186" s="30" t="s">
        <v>1566</v>
      </c>
      <c r="Z186" s="30"/>
      <c r="AA186" s="30"/>
      <c r="AB186" s="155" t="s">
        <v>1464</v>
      </c>
      <c r="AC186" s="21" t="s">
        <v>1209</v>
      </c>
      <c r="AD186" s="21"/>
      <c r="AE186" s="21"/>
      <c r="AF186" s="21"/>
      <c r="AG186" s="21"/>
      <c r="AH186" s="21"/>
      <c r="AI186" s="21"/>
      <c r="AJ186" s="21"/>
      <c r="AK186" s="21"/>
      <c r="AL186" s="21"/>
      <c r="AM186" s="21"/>
      <c r="AN186" s="21"/>
      <c r="AO186" s="21"/>
      <c r="AP186" s="21"/>
      <c r="AQ186" s="21"/>
    </row>
    <row r="187" spans="1:43" ht="15.75" customHeight="1">
      <c r="A187" s="454" t="s">
        <v>1567</v>
      </c>
      <c r="B187" s="15" t="s">
        <v>43</v>
      </c>
      <c r="C187" s="247" t="s">
        <v>170</v>
      </c>
      <c r="D187" s="235"/>
      <c r="E187" s="58"/>
      <c r="F187" s="88" t="s">
        <v>1568</v>
      </c>
      <c r="G187" s="21" t="s">
        <v>1569</v>
      </c>
      <c r="H187" s="119" t="s">
        <v>1570</v>
      </c>
      <c r="I187" s="125" t="s">
        <v>1571</v>
      </c>
      <c r="J187" s="100" t="s">
        <v>1572</v>
      </c>
      <c r="K187" s="98"/>
      <c r="L187" s="35"/>
      <c r="M187" s="23" t="s">
        <v>1573</v>
      </c>
      <c r="N187" s="134" t="s">
        <v>1574</v>
      </c>
      <c r="O187" s="134"/>
      <c r="P187" s="55"/>
      <c r="Q187" s="56"/>
      <c r="R187" s="148" t="s">
        <v>1053</v>
      </c>
      <c r="S187" s="21" t="s">
        <v>41</v>
      </c>
      <c r="T187" s="21"/>
      <c r="U187" s="28"/>
      <c r="V187" s="28"/>
      <c r="W187" s="29"/>
      <c r="X187" s="29"/>
      <c r="Y187" s="30"/>
      <c r="Z187" s="30"/>
      <c r="AA187" s="30"/>
      <c r="AB187" s="156"/>
      <c r="AC187" s="21"/>
      <c r="AD187" s="21"/>
      <c r="AE187" s="21"/>
      <c r="AF187" s="21"/>
      <c r="AG187" s="21"/>
      <c r="AH187" s="21"/>
      <c r="AI187" s="21"/>
      <c r="AJ187" s="21"/>
      <c r="AK187" s="21"/>
      <c r="AL187" s="21"/>
      <c r="AM187" s="21"/>
      <c r="AN187" s="21"/>
      <c r="AO187" s="21"/>
      <c r="AP187" s="21"/>
      <c r="AQ187" s="21"/>
    </row>
    <row r="188" spans="1:43" ht="15.75" customHeight="1">
      <c r="A188" s="454" t="s">
        <v>1575</v>
      </c>
      <c r="B188" s="15" t="s">
        <v>43</v>
      </c>
      <c r="C188" s="247" t="s">
        <v>170</v>
      </c>
      <c r="D188" s="240"/>
      <c r="E188" s="150"/>
      <c r="F188" s="151" t="s">
        <v>1576</v>
      </c>
      <c r="G188" s="109" t="s">
        <v>1577</v>
      </c>
      <c r="H188" s="109" t="s">
        <v>1578</v>
      </c>
      <c r="I188" s="125" t="s">
        <v>1579</v>
      </c>
      <c r="J188" s="98"/>
      <c r="K188" s="103"/>
      <c r="L188" s="107" t="s">
        <v>1572</v>
      </c>
      <c r="M188" s="125" t="s">
        <v>1580</v>
      </c>
      <c r="N188" s="134" t="s">
        <v>1581</v>
      </c>
      <c r="O188" s="134"/>
      <c r="P188" s="55"/>
      <c r="Q188" s="56"/>
      <c r="R188" s="33" t="s">
        <v>1542</v>
      </c>
      <c r="S188" s="21" t="s">
        <v>41</v>
      </c>
      <c r="T188" s="21"/>
      <c r="U188" s="28"/>
      <c r="V188" s="28"/>
      <c r="W188" s="29"/>
      <c r="X188" s="29"/>
      <c r="Y188" s="30"/>
      <c r="Z188" s="30"/>
      <c r="AA188" s="30"/>
      <c r="AB188" s="41"/>
      <c r="AC188" s="21"/>
      <c r="AD188" s="21"/>
      <c r="AE188" s="21"/>
      <c r="AF188" s="21"/>
      <c r="AG188" s="21"/>
      <c r="AH188" s="21"/>
      <c r="AI188" s="21"/>
      <c r="AJ188" s="21"/>
      <c r="AK188" s="21"/>
      <c r="AL188" s="21"/>
      <c r="AM188" s="21"/>
      <c r="AN188" s="21"/>
      <c r="AO188" s="21"/>
      <c r="AP188" s="21"/>
      <c r="AQ188" s="21"/>
    </row>
    <row r="189" spans="1:43" ht="15.75" customHeight="1">
      <c r="A189" s="454" t="s">
        <v>1582</v>
      </c>
      <c r="B189" s="51" t="s">
        <v>429</v>
      </c>
      <c r="C189" s="247" t="s">
        <v>170</v>
      </c>
      <c r="D189" s="241"/>
      <c r="E189" s="18"/>
      <c r="F189" s="20" t="s">
        <v>1089</v>
      </c>
      <c r="G189" s="20" t="s">
        <v>1583</v>
      </c>
      <c r="H189" s="109" t="s">
        <v>1584</v>
      </c>
      <c r="I189" s="21"/>
      <c r="J189" s="98"/>
      <c r="K189" s="82"/>
      <c r="L189" s="22" t="s">
        <v>1585</v>
      </c>
      <c r="M189" s="125" t="s">
        <v>1339</v>
      </c>
      <c r="N189" s="141" t="s">
        <v>1586</v>
      </c>
      <c r="O189" s="141"/>
      <c r="P189" s="74"/>
      <c r="Q189" s="75"/>
      <c r="R189" s="148" t="s">
        <v>1256</v>
      </c>
      <c r="S189" s="21" t="s">
        <v>41</v>
      </c>
      <c r="T189" s="21"/>
      <c r="U189" s="28"/>
      <c r="V189" s="28"/>
      <c r="W189" s="29"/>
      <c r="X189" s="29"/>
      <c r="Y189" s="30"/>
      <c r="Z189" s="30"/>
      <c r="AA189" s="30"/>
      <c r="AB189" s="46" t="s">
        <v>1559</v>
      </c>
      <c r="AC189" s="21"/>
      <c r="AD189" s="21"/>
      <c r="AE189" s="21"/>
      <c r="AF189" s="21"/>
      <c r="AG189" s="21"/>
      <c r="AH189" s="21"/>
      <c r="AI189" s="21"/>
      <c r="AJ189" s="21"/>
      <c r="AK189" s="21"/>
      <c r="AL189" s="21"/>
      <c r="AM189" s="21"/>
      <c r="AN189" s="21"/>
      <c r="AO189" s="21"/>
      <c r="AP189" s="21"/>
      <c r="AQ189" s="21"/>
    </row>
    <row r="190" spans="1:43" ht="15.75" customHeight="1">
      <c r="A190" s="454" t="s">
        <v>3850</v>
      </c>
      <c r="B190" s="15" t="s">
        <v>43</v>
      </c>
      <c r="C190" s="253" t="s">
        <v>1587</v>
      </c>
      <c r="D190" s="235"/>
      <c r="E190" s="58"/>
      <c r="F190" s="88" t="s">
        <v>1588</v>
      </c>
      <c r="G190" s="21"/>
      <c r="H190" s="119" t="s">
        <v>1589</v>
      </c>
      <c r="I190" s="125" t="s">
        <v>1590</v>
      </c>
      <c r="J190" s="98"/>
      <c r="K190" s="22"/>
      <c r="L190" s="22" t="s">
        <v>1518</v>
      </c>
      <c r="M190" s="15" t="s">
        <v>1591</v>
      </c>
      <c r="N190" s="134" t="s">
        <v>1592</v>
      </c>
      <c r="O190" s="134"/>
      <c r="P190" s="55"/>
      <c r="Q190" s="56"/>
      <c r="R190" s="148" t="s">
        <v>1053</v>
      </c>
      <c r="S190" s="21" t="s">
        <v>41</v>
      </c>
      <c r="T190" s="21"/>
      <c r="U190" s="28"/>
      <c r="V190" s="28"/>
      <c r="W190" s="29"/>
      <c r="X190" s="72"/>
      <c r="Y190" s="102"/>
      <c r="Z190" s="30"/>
      <c r="AA190" s="30"/>
      <c r="AB190" s="31"/>
      <c r="AC190" s="21"/>
      <c r="AD190" s="21"/>
      <c r="AE190" s="21"/>
      <c r="AF190" s="21"/>
      <c r="AG190" s="21"/>
      <c r="AH190" s="21"/>
      <c r="AI190" s="21"/>
      <c r="AJ190" s="21"/>
      <c r="AK190" s="21"/>
      <c r="AL190" s="21"/>
      <c r="AM190" s="21"/>
      <c r="AN190" s="21"/>
      <c r="AO190" s="21"/>
      <c r="AP190" s="21"/>
      <c r="AQ190" s="21"/>
    </row>
    <row r="191" spans="1:43" ht="15.75" customHeight="1">
      <c r="A191" s="441" t="s">
        <v>1593</v>
      </c>
      <c r="B191" s="33" t="s">
        <v>43</v>
      </c>
      <c r="C191" s="247" t="s">
        <v>170</v>
      </c>
      <c r="D191" s="232"/>
      <c r="E191" s="58"/>
      <c r="F191" s="47" t="s">
        <v>1594</v>
      </c>
      <c r="G191" s="32"/>
      <c r="H191" s="95" t="s">
        <v>1595</v>
      </c>
      <c r="I191" s="43" t="s">
        <v>1596</v>
      </c>
      <c r="J191" s="22"/>
      <c r="K191" s="22"/>
      <c r="L191" s="22"/>
      <c r="M191" s="135" t="s">
        <v>649</v>
      </c>
      <c r="N191" s="89" t="s">
        <v>1597</v>
      </c>
      <c r="O191" s="89" t="s">
        <v>1598</v>
      </c>
      <c r="P191" s="90"/>
      <c r="Q191" s="91" t="s">
        <v>1599</v>
      </c>
      <c r="R191" s="32" t="s">
        <v>517</v>
      </c>
      <c r="S191" s="32" t="s">
        <v>41</v>
      </c>
      <c r="T191" s="21"/>
      <c r="U191" s="28"/>
      <c r="V191" s="28"/>
      <c r="W191" s="29"/>
      <c r="X191" s="110"/>
      <c r="Y191" s="30" t="s">
        <v>4016</v>
      </c>
      <c r="Z191" s="30" t="s">
        <v>1600</v>
      </c>
      <c r="AA191" s="30" t="s">
        <v>1601</v>
      </c>
      <c r="AB191" s="41"/>
      <c r="AC191" s="32"/>
      <c r="AD191" s="32"/>
      <c r="AE191" s="32"/>
      <c r="AF191" s="32"/>
      <c r="AG191" s="32"/>
      <c r="AH191" s="32"/>
      <c r="AI191" s="32"/>
      <c r="AJ191" s="32"/>
      <c r="AK191" s="32"/>
      <c r="AL191" s="32"/>
      <c r="AM191" s="32"/>
      <c r="AN191" s="32"/>
      <c r="AO191" s="32"/>
      <c r="AP191" s="32"/>
      <c r="AQ191" s="32"/>
    </row>
    <row r="192" spans="1:43" ht="15.75" customHeight="1">
      <c r="A192" s="441" t="s">
        <v>1602</v>
      </c>
      <c r="B192" s="33" t="s">
        <v>43</v>
      </c>
      <c r="C192" s="247" t="s">
        <v>170</v>
      </c>
      <c r="D192" s="232"/>
      <c r="E192" s="58"/>
      <c r="F192" s="47" t="s">
        <v>1603</v>
      </c>
      <c r="G192" s="32"/>
      <c r="H192" s="48" t="s">
        <v>1604</v>
      </c>
      <c r="I192" s="43" t="s">
        <v>1605</v>
      </c>
      <c r="J192" s="147"/>
      <c r="K192" s="93" t="s">
        <v>1606</v>
      </c>
      <c r="L192" s="22" t="s">
        <v>1607</v>
      </c>
      <c r="M192" s="43" t="s">
        <v>1608</v>
      </c>
      <c r="N192" s="54" t="s">
        <v>1609</v>
      </c>
      <c r="O192" s="54"/>
      <c r="P192" s="55"/>
      <c r="Q192" s="56"/>
      <c r="R192" s="32" t="s">
        <v>537</v>
      </c>
      <c r="S192" s="32" t="s">
        <v>41</v>
      </c>
      <c r="T192" s="21"/>
      <c r="U192" s="28"/>
      <c r="V192" s="28"/>
      <c r="W192" s="29"/>
      <c r="X192" s="29"/>
      <c r="Y192" s="30"/>
      <c r="Z192" s="30"/>
      <c r="AA192" s="30"/>
      <c r="AB192" s="41"/>
      <c r="AC192" s="32"/>
      <c r="AD192" s="32"/>
      <c r="AE192" s="32"/>
      <c r="AF192" s="32"/>
      <c r="AG192" s="32"/>
      <c r="AH192" s="32"/>
      <c r="AI192" s="32"/>
      <c r="AJ192" s="32"/>
      <c r="AK192" s="32"/>
      <c r="AL192" s="32"/>
      <c r="AM192" s="32"/>
      <c r="AN192" s="32"/>
      <c r="AO192" s="32"/>
      <c r="AP192" s="32"/>
      <c r="AQ192" s="32"/>
    </row>
    <row r="193" spans="1:43" ht="15.75" customHeight="1">
      <c r="A193" s="441" t="s">
        <v>3849</v>
      </c>
      <c r="B193" s="33" t="s">
        <v>43</v>
      </c>
      <c r="C193" s="248" t="s">
        <v>3772</v>
      </c>
      <c r="D193" s="232"/>
      <c r="E193" s="58"/>
      <c r="F193" s="16" t="s">
        <v>1610</v>
      </c>
      <c r="G193" s="32"/>
      <c r="H193" s="48" t="s">
        <v>1611</v>
      </c>
      <c r="I193" s="43" t="s">
        <v>1612</v>
      </c>
      <c r="J193" s="82"/>
      <c r="K193" s="82"/>
      <c r="L193" s="22"/>
      <c r="M193" s="135" t="s">
        <v>649</v>
      </c>
      <c r="N193" s="73" t="s">
        <v>1230</v>
      </c>
      <c r="O193" s="73" t="s">
        <v>1613</v>
      </c>
      <c r="P193" s="74"/>
      <c r="Q193" s="75" t="s">
        <v>1614</v>
      </c>
      <c r="R193" s="32" t="s">
        <v>517</v>
      </c>
      <c r="S193" s="32" t="s">
        <v>41</v>
      </c>
      <c r="T193" s="21"/>
      <c r="U193" s="28"/>
      <c r="V193" s="28"/>
      <c r="W193" s="29"/>
      <c r="X193" s="29"/>
      <c r="Y193" s="30" t="s">
        <v>1615</v>
      </c>
      <c r="Z193" s="30" t="s">
        <v>1616</v>
      </c>
      <c r="AA193" s="30"/>
      <c r="AB193" s="41"/>
      <c r="AC193" s="32"/>
      <c r="AD193" s="32"/>
      <c r="AE193" s="32"/>
      <c r="AF193" s="32"/>
      <c r="AG193" s="32"/>
      <c r="AH193" s="32"/>
      <c r="AI193" s="32"/>
      <c r="AJ193" s="32"/>
      <c r="AK193" s="32"/>
      <c r="AL193" s="32"/>
      <c r="AM193" s="32"/>
      <c r="AN193" s="32"/>
      <c r="AO193" s="32"/>
      <c r="AP193" s="32"/>
      <c r="AQ193" s="32"/>
    </row>
    <row r="194" spans="1:43" ht="15.75" customHeight="1">
      <c r="A194" s="452" t="s">
        <v>1617</v>
      </c>
      <c r="B194" s="51" t="s">
        <v>996</v>
      </c>
      <c r="C194" s="253" t="s">
        <v>1618</v>
      </c>
      <c r="D194" s="235"/>
      <c r="E194" s="58"/>
      <c r="F194" s="144" t="s">
        <v>1619</v>
      </c>
      <c r="G194" s="21" t="s">
        <v>1620</v>
      </c>
      <c r="H194" s="119" t="s">
        <v>1621</v>
      </c>
      <c r="I194" s="125" t="s">
        <v>1622</v>
      </c>
      <c r="J194" s="35"/>
      <c r="K194" s="82"/>
      <c r="L194" s="82" t="s">
        <v>1623</v>
      </c>
      <c r="M194" s="15" t="s">
        <v>1624</v>
      </c>
      <c r="N194" s="134" t="s">
        <v>1625</v>
      </c>
      <c r="O194" s="134"/>
      <c r="P194" s="55"/>
      <c r="Q194" s="56"/>
      <c r="R194" s="148" t="s">
        <v>1053</v>
      </c>
      <c r="S194" s="21" t="s">
        <v>41</v>
      </c>
      <c r="T194" s="21" t="s">
        <v>4000</v>
      </c>
      <c r="U194" s="28" t="s">
        <v>1054</v>
      </c>
      <c r="V194" s="143" t="s">
        <v>1626</v>
      </c>
      <c r="W194" s="29"/>
      <c r="X194" s="29"/>
      <c r="Y194" s="30" t="s">
        <v>1627</v>
      </c>
      <c r="Z194" s="30"/>
      <c r="AA194" s="30"/>
      <c r="AB194" s="155" t="s">
        <v>1464</v>
      </c>
      <c r="AC194" s="21" t="s">
        <v>1209</v>
      </c>
      <c r="AD194" s="21"/>
      <c r="AE194" s="21"/>
      <c r="AF194" s="21"/>
      <c r="AG194" s="21"/>
      <c r="AH194" s="21"/>
      <c r="AI194" s="21"/>
      <c r="AJ194" s="21"/>
      <c r="AK194" s="21"/>
      <c r="AL194" s="21"/>
      <c r="AM194" s="21"/>
      <c r="AN194" s="21"/>
      <c r="AO194" s="21"/>
      <c r="AP194" s="21"/>
      <c r="AQ194" s="21"/>
    </row>
    <row r="195" spans="1:43" ht="15.75" customHeight="1">
      <c r="A195" s="442" t="s">
        <v>1628</v>
      </c>
      <c r="B195" s="14" t="s">
        <v>996</v>
      </c>
      <c r="C195" s="246" t="s">
        <v>1629</v>
      </c>
      <c r="D195" s="232"/>
      <c r="E195" s="58"/>
      <c r="F195" s="47" t="s">
        <v>1630</v>
      </c>
      <c r="G195" s="32" t="s">
        <v>1631</v>
      </c>
      <c r="H195" s="48" t="s">
        <v>1632</v>
      </c>
      <c r="I195" s="43" t="s">
        <v>1633</v>
      </c>
      <c r="J195" s="107" t="s">
        <v>1634</v>
      </c>
      <c r="K195" s="98"/>
      <c r="L195" s="98"/>
      <c r="M195" s="33" t="s">
        <v>1339</v>
      </c>
      <c r="N195" s="54" t="s">
        <v>1635</v>
      </c>
      <c r="O195" s="54"/>
      <c r="P195" s="55"/>
      <c r="Q195" s="56"/>
      <c r="R195" s="148" t="s">
        <v>1256</v>
      </c>
      <c r="S195" s="21" t="s">
        <v>41</v>
      </c>
      <c r="T195" s="21" t="s">
        <v>4001</v>
      </c>
      <c r="U195" s="28" t="s">
        <v>1054</v>
      </c>
      <c r="V195" s="143" t="s">
        <v>1636</v>
      </c>
      <c r="W195" s="29"/>
      <c r="X195" s="29"/>
      <c r="Y195" s="30" t="s">
        <v>1637</v>
      </c>
      <c r="Z195" s="30"/>
      <c r="AA195" s="30"/>
      <c r="AB195" s="31" t="s">
        <v>1056</v>
      </c>
      <c r="AC195" s="21" t="s">
        <v>1209</v>
      </c>
      <c r="AD195" s="21"/>
      <c r="AE195" s="32"/>
      <c r="AF195" s="32"/>
      <c r="AG195" s="32"/>
      <c r="AH195" s="32"/>
      <c r="AI195" s="32"/>
      <c r="AJ195" s="32"/>
      <c r="AK195" s="32"/>
      <c r="AL195" s="32"/>
      <c r="AM195" s="32"/>
      <c r="AN195" s="32"/>
      <c r="AO195" s="32"/>
      <c r="AP195" s="32"/>
      <c r="AQ195" s="32"/>
    </row>
    <row r="196" spans="1:43" ht="15.75" customHeight="1">
      <c r="A196" s="441" t="s">
        <v>1638</v>
      </c>
      <c r="B196" s="14" t="s">
        <v>1639</v>
      </c>
      <c r="C196" s="247" t="s">
        <v>170</v>
      </c>
      <c r="D196" s="232"/>
      <c r="E196" s="58"/>
      <c r="F196" s="47" t="s">
        <v>1640</v>
      </c>
      <c r="G196" s="32"/>
      <c r="H196" s="95" t="s">
        <v>1641</v>
      </c>
      <c r="I196" s="43" t="s">
        <v>1642</v>
      </c>
      <c r="J196" s="22"/>
      <c r="K196" s="82"/>
      <c r="L196" s="82" t="s">
        <v>1643</v>
      </c>
      <c r="M196" s="95" t="s">
        <v>3934</v>
      </c>
      <c r="N196" s="54" t="s">
        <v>1644</v>
      </c>
      <c r="O196" s="54"/>
      <c r="P196" s="55"/>
      <c r="Q196" s="56"/>
      <c r="R196" s="115" t="s">
        <v>382</v>
      </c>
      <c r="S196" s="32" t="s">
        <v>41</v>
      </c>
      <c r="T196" s="21"/>
      <c r="U196" s="28"/>
      <c r="V196" s="28"/>
      <c r="W196" s="29"/>
      <c r="X196" s="29"/>
      <c r="Y196" s="30"/>
      <c r="Z196" s="30"/>
      <c r="AA196" s="30"/>
      <c r="AB196" s="41"/>
      <c r="AC196" s="32"/>
      <c r="AD196" s="21"/>
      <c r="AE196" s="32"/>
      <c r="AF196" s="32"/>
      <c r="AG196" s="32"/>
      <c r="AH196" s="32"/>
      <c r="AI196" s="32"/>
      <c r="AJ196" s="32"/>
      <c r="AK196" s="32"/>
      <c r="AL196" s="32"/>
      <c r="AM196" s="32"/>
      <c r="AN196" s="32"/>
      <c r="AO196" s="32"/>
      <c r="AP196" s="32"/>
      <c r="AQ196" s="32"/>
    </row>
    <row r="197" spans="1:43" ht="15.75" customHeight="1">
      <c r="A197" s="441" t="s">
        <v>1645</v>
      </c>
      <c r="B197" s="33" t="s">
        <v>43</v>
      </c>
      <c r="C197" s="247" t="s">
        <v>170</v>
      </c>
      <c r="D197" s="232"/>
      <c r="E197" s="58"/>
      <c r="F197" s="47" t="s">
        <v>1646</v>
      </c>
      <c r="G197" s="32" t="s">
        <v>1647</v>
      </c>
      <c r="H197" s="95" t="s">
        <v>1648</v>
      </c>
      <c r="I197" s="43" t="s">
        <v>1649</v>
      </c>
      <c r="J197" s="22"/>
      <c r="K197" s="82"/>
      <c r="L197" s="82"/>
      <c r="M197" s="36" t="s">
        <v>1650</v>
      </c>
      <c r="N197" s="54" t="s">
        <v>1651</v>
      </c>
      <c r="O197" s="54"/>
      <c r="P197" s="55"/>
      <c r="Q197" s="56"/>
      <c r="R197" s="115" t="s">
        <v>79</v>
      </c>
      <c r="S197" s="32" t="s">
        <v>41</v>
      </c>
      <c r="T197" s="21"/>
      <c r="U197" s="28"/>
      <c r="V197" s="28"/>
      <c r="W197" s="29"/>
      <c r="X197" s="29"/>
      <c r="Y197" s="30"/>
      <c r="Z197" s="30"/>
      <c r="AA197" s="30"/>
      <c r="AB197" s="41"/>
      <c r="AC197" s="32"/>
      <c r="AD197" s="21"/>
      <c r="AE197" s="32"/>
      <c r="AF197" s="32"/>
      <c r="AG197" s="32"/>
      <c r="AH197" s="32"/>
      <c r="AI197" s="32"/>
      <c r="AJ197" s="32"/>
      <c r="AK197" s="32"/>
      <c r="AL197" s="32"/>
      <c r="AM197" s="32"/>
      <c r="AN197" s="32"/>
      <c r="AO197" s="32"/>
      <c r="AP197" s="32"/>
      <c r="AQ197" s="32"/>
    </row>
    <row r="198" spans="1:43" ht="15.75" customHeight="1">
      <c r="A198" s="441" t="s">
        <v>1652</v>
      </c>
      <c r="B198" s="14" t="s">
        <v>429</v>
      </c>
      <c r="C198" s="252" t="s">
        <v>170</v>
      </c>
      <c r="D198" s="232"/>
      <c r="E198" s="58"/>
      <c r="F198" s="47" t="s">
        <v>1653</v>
      </c>
      <c r="G198" s="32"/>
      <c r="H198" s="95" t="s">
        <v>1654</v>
      </c>
      <c r="I198" s="43" t="s">
        <v>1655</v>
      </c>
      <c r="J198" s="22" t="s">
        <v>1656</v>
      </c>
      <c r="K198" s="82"/>
      <c r="L198" s="82"/>
      <c r="M198" s="36" t="s">
        <v>1657</v>
      </c>
      <c r="N198" s="54" t="s">
        <v>1658</v>
      </c>
      <c r="O198" s="54"/>
      <c r="P198" s="55"/>
      <c r="Q198" s="56"/>
      <c r="R198" s="306" t="s">
        <v>634</v>
      </c>
      <c r="S198" s="32" t="s">
        <v>41</v>
      </c>
      <c r="T198" s="21"/>
      <c r="U198" s="28"/>
      <c r="V198" s="28"/>
      <c r="W198" s="29"/>
      <c r="X198" s="29"/>
      <c r="Y198" s="30"/>
      <c r="Z198" s="30"/>
      <c r="AA198" s="30"/>
      <c r="AB198" s="41"/>
      <c r="AC198" s="32"/>
      <c r="AD198" s="21"/>
      <c r="AE198" s="32"/>
      <c r="AF198" s="32"/>
      <c r="AG198" s="32"/>
      <c r="AH198" s="32"/>
      <c r="AI198" s="32"/>
      <c r="AJ198" s="32"/>
      <c r="AK198" s="32"/>
      <c r="AL198" s="32"/>
      <c r="AM198" s="32"/>
      <c r="AN198" s="32"/>
      <c r="AO198" s="32"/>
      <c r="AP198" s="32"/>
      <c r="AQ198" s="32"/>
    </row>
    <row r="199" spans="1:43" ht="15.75" customHeight="1">
      <c r="A199" s="441" t="s">
        <v>1659</v>
      </c>
      <c r="B199" s="14" t="s">
        <v>429</v>
      </c>
      <c r="C199" s="247" t="s">
        <v>170</v>
      </c>
      <c r="D199" s="232"/>
      <c r="E199" s="58"/>
      <c r="F199" s="16" t="s">
        <v>1660</v>
      </c>
      <c r="G199" s="32" t="s">
        <v>1661</v>
      </c>
      <c r="H199" s="48" t="s">
        <v>1662</v>
      </c>
      <c r="I199" s="43" t="s">
        <v>1663</v>
      </c>
      <c r="J199" s="103" t="s">
        <v>1634</v>
      </c>
      <c r="K199" s="98"/>
      <c r="L199" s="35"/>
      <c r="M199" s="53" t="s">
        <v>1339</v>
      </c>
      <c r="N199" s="73" t="s">
        <v>1664</v>
      </c>
      <c r="O199" s="73"/>
      <c r="P199" s="74"/>
      <c r="Q199" s="75"/>
      <c r="R199" s="148" t="s">
        <v>1256</v>
      </c>
      <c r="S199" s="32" t="s">
        <v>41</v>
      </c>
      <c r="T199" s="104"/>
      <c r="U199" s="105" t="s">
        <v>1054</v>
      </c>
      <c r="V199" s="413" t="s">
        <v>1665</v>
      </c>
      <c r="W199" s="29"/>
      <c r="X199" s="29"/>
      <c r="Y199" s="30" t="s">
        <v>1666</v>
      </c>
      <c r="Z199" s="30"/>
      <c r="AA199" s="30"/>
      <c r="AB199" s="31" t="s">
        <v>1056</v>
      </c>
      <c r="AC199" s="21" t="s">
        <v>1209</v>
      </c>
      <c r="AD199" s="21"/>
      <c r="AE199" s="32"/>
      <c r="AF199" s="32"/>
      <c r="AG199" s="32"/>
      <c r="AH199" s="32"/>
      <c r="AI199" s="32"/>
      <c r="AJ199" s="32"/>
      <c r="AK199" s="32"/>
      <c r="AL199" s="32"/>
      <c r="AM199" s="32"/>
      <c r="AN199" s="32"/>
      <c r="AO199" s="32"/>
      <c r="AP199" s="32"/>
      <c r="AQ199" s="32"/>
    </row>
    <row r="200" spans="1:43" ht="15.75" customHeight="1">
      <c r="A200" s="441" t="s">
        <v>1667</v>
      </c>
      <c r="B200" s="33" t="s">
        <v>43</v>
      </c>
      <c r="C200" s="248" t="s">
        <v>1668</v>
      </c>
      <c r="D200" s="232"/>
      <c r="E200" s="58"/>
      <c r="F200" s="16" t="s">
        <v>1669</v>
      </c>
      <c r="G200" s="32" t="s">
        <v>1670</v>
      </c>
      <c r="H200" s="48" t="s">
        <v>1671</v>
      </c>
      <c r="I200" s="43" t="s">
        <v>443</v>
      </c>
      <c r="J200" s="35"/>
      <c r="K200" s="22"/>
      <c r="L200" s="22" t="s">
        <v>419</v>
      </c>
      <c r="M200" s="36" t="s">
        <v>1672</v>
      </c>
      <c r="N200" s="54" t="s">
        <v>1673</v>
      </c>
      <c r="O200" s="54"/>
      <c r="P200" s="55"/>
      <c r="Q200" s="56"/>
      <c r="R200" s="99" t="s">
        <v>596</v>
      </c>
      <c r="S200" s="32" t="s">
        <v>41</v>
      </c>
      <c r="T200" s="157"/>
      <c r="U200" s="158"/>
      <c r="V200" s="158"/>
      <c r="W200" s="29"/>
      <c r="X200" s="29"/>
      <c r="Y200" s="159"/>
      <c r="Z200" s="30"/>
      <c r="AA200" s="30"/>
      <c r="AB200" s="41"/>
      <c r="AC200" s="32"/>
      <c r="AD200" s="21"/>
      <c r="AE200" s="32"/>
      <c r="AF200" s="32"/>
      <c r="AG200" s="32"/>
      <c r="AH200" s="32"/>
      <c r="AI200" s="32"/>
      <c r="AJ200" s="32"/>
      <c r="AK200" s="32"/>
      <c r="AL200" s="32"/>
      <c r="AM200" s="32"/>
      <c r="AN200" s="32"/>
      <c r="AO200" s="32"/>
      <c r="AP200" s="32"/>
      <c r="AQ200" s="32"/>
    </row>
    <row r="201" spans="1:43" ht="15.75" customHeight="1">
      <c r="A201" s="441" t="s">
        <v>1674</v>
      </c>
      <c r="B201" s="32" t="s">
        <v>1675</v>
      </c>
      <c r="C201" s="246" t="s">
        <v>1676</v>
      </c>
      <c r="D201" s="232"/>
      <c r="E201" s="58"/>
      <c r="F201" s="16" t="s">
        <v>1677</v>
      </c>
      <c r="G201" s="32" t="s">
        <v>88</v>
      </c>
      <c r="H201" s="48" t="s">
        <v>1678</v>
      </c>
      <c r="I201" s="43" t="s">
        <v>118</v>
      </c>
      <c r="J201" s="22"/>
      <c r="K201" s="82"/>
      <c r="L201" s="82"/>
      <c r="M201" s="36" t="s">
        <v>1679</v>
      </c>
      <c r="N201" s="38" t="s">
        <v>1680</v>
      </c>
      <c r="O201" s="38"/>
      <c r="P201" s="25"/>
      <c r="Q201" s="26"/>
      <c r="R201" s="115" t="s">
        <v>79</v>
      </c>
      <c r="S201" s="32" t="s">
        <v>41</v>
      </c>
      <c r="T201" s="21"/>
      <c r="U201" s="28"/>
      <c r="V201" s="28"/>
      <c r="W201" s="86" t="s">
        <v>1681</v>
      </c>
      <c r="X201" s="160" t="s">
        <v>1682</v>
      </c>
      <c r="Y201" s="30" t="s">
        <v>1683</v>
      </c>
      <c r="Z201" s="30"/>
      <c r="AA201" s="30"/>
      <c r="AB201" s="161"/>
      <c r="AC201" s="32"/>
      <c r="AD201" s="21"/>
      <c r="AE201" s="32"/>
      <c r="AF201" s="32"/>
      <c r="AG201" s="32"/>
      <c r="AH201" s="32"/>
      <c r="AI201" s="32"/>
      <c r="AJ201" s="32"/>
      <c r="AK201" s="32"/>
      <c r="AL201" s="32"/>
      <c r="AM201" s="32"/>
      <c r="AN201" s="32"/>
      <c r="AO201" s="32"/>
      <c r="AP201" s="32"/>
      <c r="AQ201" s="32"/>
    </row>
    <row r="202" spans="1:43" ht="15.75" customHeight="1">
      <c r="A202" s="441" t="s">
        <v>1684</v>
      </c>
      <c r="B202" s="14" t="s">
        <v>996</v>
      </c>
      <c r="C202" s="271" t="s">
        <v>170</v>
      </c>
      <c r="D202" s="232"/>
      <c r="E202" s="58"/>
      <c r="F202" s="32" t="s">
        <v>1089</v>
      </c>
      <c r="G202" s="32" t="s">
        <v>1685</v>
      </c>
      <c r="H202" s="48" t="s">
        <v>1686</v>
      </c>
      <c r="I202" s="43" t="s">
        <v>1687</v>
      </c>
      <c r="J202" s="103" t="s">
        <v>1634</v>
      </c>
      <c r="K202" s="98"/>
      <c r="L202" s="98"/>
      <c r="M202" s="53" t="s">
        <v>1339</v>
      </c>
      <c r="N202" s="73" t="s">
        <v>1688</v>
      </c>
      <c r="O202" s="73"/>
      <c r="P202" s="74"/>
      <c r="Q202" s="75"/>
      <c r="R202" s="148" t="s">
        <v>1053</v>
      </c>
      <c r="S202" s="32" t="s">
        <v>41</v>
      </c>
      <c r="T202" s="21" t="s">
        <v>1689</v>
      </c>
      <c r="U202" s="28" t="s">
        <v>1054</v>
      </c>
      <c r="V202" s="143" t="s">
        <v>1690</v>
      </c>
      <c r="W202" s="29"/>
      <c r="X202" s="29"/>
      <c r="Y202" s="30" t="s">
        <v>1691</v>
      </c>
      <c r="Z202" s="30"/>
      <c r="AA202" s="30"/>
      <c r="AB202" s="31" t="s">
        <v>1056</v>
      </c>
      <c r="AC202" s="21" t="s">
        <v>1209</v>
      </c>
      <c r="AD202" s="21"/>
      <c r="AE202" s="32"/>
      <c r="AF202" s="32"/>
      <c r="AG202" s="32"/>
      <c r="AH202" s="32"/>
      <c r="AI202" s="32"/>
      <c r="AJ202" s="32"/>
      <c r="AK202" s="32"/>
      <c r="AL202" s="32"/>
      <c r="AM202" s="32"/>
      <c r="AN202" s="32"/>
      <c r="AO202" s="32"/>
      <c r="AP202" s="32"/>
      <c r="AQ202" s="32"/>
    </row>
    <row r="203" spans="1:43" ht="15.75" customHeight="1">
      <c r="A203" s="441" t="s">
        <v>1692</v>
      </c>
      <c r="B203" s="14" t="s">
        <v>996</v>
      </c>
      <c r="C203" s="253" t="s">
        <v>1693</v>
      </c>
      <c r="D203" s="232"/>
      <c r="E203" s="58"/>
      <c r="F203" s="32" t="s">
        <v>1089</v>
      </c>
      <c r="G203" s="32" t="s">
        <v>1694</v>
      </c>
      <c r="H203" s="48" t="s">
        <v>1695</v>
      </c>
      <c r="I203" s="43" t="s">
        <v>1696</v>
      </c>
      <c r="J203" s="107" t="s">
        <v>1634</v>
      </c>
      <c r="K203" s="35"/>
      <c r="L203" s="35"/>
      <c r="M203" s="53" t="s">
        <v>1339</v>
      </c>
      <c r="N203" s="73" t="s">
        <v>1697</v>
      </c>
      <c r="O203" s="73"/>
      <c r="P203" s="74"/>
      <c r="Q203" s="75"/>
      <c r="R203" s="148" t="s">
        <v>1053</v>
      </c>
      <c r="S203" s="32" t="s">
        <v>41</v>
      </c>
      <c r="T203" s="21" t="s">
        <v>1698</v>
      </c>
      <c r="U203" s="28"/>
      <c r="V203" s="28"/>
      <c r="W203" s="29"/>
      <c r="X203" s="29"/>
      <c r="Y203" s="30"/>
      <c r="Z203" s="30"/>
      <c r="AA203" s="30"/>
      <c r="AB203" s="41"/>
      <c r="AC203" s="32"/>
      <c r="AD203" s="21"/>
      <c r="AE203" s="32"/>
      <c r="AF203" s="32"/>
      <c r="AG203" s="32"/>
      <c r="AH203" s="32"/>
      <c r="AI203" s="32"/>
      <c r="AJ203" s="32"/>
      <c r="AK203" s="32"/>
      <c r="AL203" s="32"/>
      <c r="AM203" s="32"/>
      <c r="AN203" s="32"/>
      <c r="AO203" s="32"/>
      <c r="AP203" s="32"/>
      <c r="AQ203" s="32"/>
    </row>
    <row r="204" spans="1:43" ht="15.75" customHeight="1">
      <c r="A204" s="441" t="s">
        <v>1699</v>
      </c>
      <c r="B204" s="33" t="s">
        <v>43</v>
      </c>
      <c r="C204" s="247" t="s">
        <v>170</v>
      </c>
      <c r="D204" s="232"/>
      <c r="E204" s="136"/>
      <c r="F204" s="47" t="s">
        <v>1700</v>
      </c>
      <c r="G204" s="32" t="s">
        <v>1701</v>
      </c>
      <c r="H204" s="95" t="s">
        <v>1702</v>
      </c>
      <c r="I204" s="43" t="s">
        <v>1441</v>
      </c>
      <c r="J204" s="22" t="s">
        <v>1703</v>
      </c>
      <c r="K204" s="22"/>
      <c r="L204" s="22"/>
      <c r="M204" s="43" t="s">
        <v>649</v>
      </c>
      <c r="N204" s="65" t="s">
        <v>1704</v>
      </c>
      <c r="O204" s="38"/>
      <c r="P204" s="25"/>
      <c r="Q204" s="26"/>
      <c r="R204" s="99" t="s">
        <v>1095</v>
      </c>
      <c r="S204" s="32" t="s">
        <v>41</v>
      </c>
      <c r="T204" s="21"/>
      <c r="U204" s="28"/>
      <c r="V204" s="105"/>
      <c r="W204" s="29"/>
      <c r="X204" s="29"/>
      <c r="Y204" s="30"/>
      <c r="Z204" s="30"/>
      <c r="AA204" s="30"/>
      <c r="AB204" s="41"/>
      <c r="AC204" s="32"/>
      <c r="AD204" s="21"/>
      <c r="AE204" s="32"/>
      <c r="AF204" s="32"/>
      <c r="AG204" s="32"/>
      <c r="AH204" s="32"/>
      <c r="AI204" s="32"/>
      <c r="AJ204" s="32"/>
      <c r="AK204" s="32"/>
      <c r="AL204" s="32"/>
      <c r="AM204" s="32"/>
      <c r="AN204" s="32"/>
      <c r="AO204" s="32"/>
      <c r="AP204" s="32"/>
      <c r="AQ204" s="32"/>
    </row>
    <row r="205" spans="1:43" ht="15.75" customHeight="1">
      <c r="A205" s="441" t="s">
        <v>3848</v>
      </c>
      <c r="B205" s="33" t="s">
        <v>43</v>
      </c>
      <c r="C205" s="253" t="s">
        <v>1705</v>
      </c>
      <c r="D205" s="232"/>
      <c r="E205" s="162"/>
      <c r="F205" s="47" t="s">
        <v>1706</v>
      </c>
      <c r="G205" s="32" t="s">
        <v>1707</v>
      </c>
      <c r="H205" s="48" t="s">
        <v>1708</v>
      </c>
      <c r="I205" s="43" t="s">
        <v>1709</v>
      </c>
      <c r="J205" s="82" t="s">
        <v>1710</v>
      </c>
      <c r="K205" s="35"/>
      <c r="L205" s="35"/>
      <c r="M205" s="53" t="s">
        <v>1339</v>
      </c>
      <c r="N205" s="54" t="s">
        <v>1711</v>
      </c>
      <c r="O205" s="54"/>
      <c r="P205" s="55"/>
      <c r="Q205" s="56"/>
      <c r="R205" s="148" t="s">
        <v>1053</v>
      </c>
      <c r="S205" s="32" t="s">
        <v>41</v>
      </c>
      <c r="T205" s="21"/>
      <c r="U205" s="28"/>
      <c r="V205" s="28"/>
      <c r="W205" s="29"/>
      <c r="X205" s="29"/>
      <c r="Y205" s="30"/>
      <c r="Z205" s="30"/>
      <c r="AA205" s="30"/>
      <c r="AB205" s="41"/>
      <c r="AC205" s="32"/>
      <c r="AD205" s="21"/>
      <c r="AE205" s="32"/>
      <c r="AF205" s="32"/>
      <c r="AG205" s="32"/>
      <c r="AH205" s="32"/>
      <c r="AI205" s="32"/>
      <c r="AJ205" s="32"/>
      <c r="AK205" s="32"/>
      <c r="AL205" s="32"/>
      <c r="AM205" s="32"/>
      <c r="AN205" s="32"/>
      <c r="AO205" s="32"/>
      <c r="AP205" s="32"/>
      <c r="AQ205" s="32"/>
    </row>
    <row r="206" spans="1:43" ht="15.75" customHeight="1">
      <c r="A206" s="441" t="s">
        <v>1712</v>
      </c>
      <c r="B206" s="14" t="s">
        <v>429</v>
      </c>
      <c r="C206" s="247" t="s">
        <v>170</v>
      </c>
      <c r="D206" s="232"/>
      <c r="E206" s="58"/>
      <c r="F206" s="16" t="s">
        <v>1713</v>
      </c>
      <c r="G206" s="32"/>
      <c r="H206" s="48" t="s">
        <v>1714</v>
      </c>
      <c r="I206" s="43" t="s">
        <v>1715</v>
      </c>
      <c r="J206" s="301" t="s">
        <v>1716</v>
      </c>
      <c r="K206" s="22"/>
      <c r="L206" s="22"/>
      <c r="M206" s="135" t="s">
        <v>535</v>
      </c>
      <c r="N206" s="38" t="s">
        <v>1717</v>
      </c>
      <c r="O206" s="38" t="s">
        <v>1598</v>
      </c>
      <c r="P206" s="25"/>
      <c r="Q206" s="26" t="s">
        <v>1599</v>
      </c>
      <c r="R206" s="32" t="s">
        <v>517</v>
      </c>
      <c r="S206" s="32" t="s">
        <v>41</v>
      </c>
      <c r="T206" s="21"/>
      <c r="U206" s="28"/>
      <c r="V206" s="28"/>
      <c r="W206" s="29"/>
      <c r="X206" s="29"/>
      <c r="Y206" s="30" t="s">
        <v>1718</v>
      </c>
      <c r="Z206" s="30" t="s">
        <v>1719</v>
      </c>
      <c r="AA206" s="30" t="s">
        <v>1720</v>
      </c>
      <c r="AB206" s="41"/>
      <c r="AC206" s="32"/>
      <c r="AD206" s="21"/>
      <c r="AE206" s="32"/>
      <c r="AF206" s="32"/>
      <c r="AG206" s="32"/>
      <c r="AH206" s="32"/>
      <c r="AI206" s="32"/>
      <c r="AJ206" s="32"/>
      <c r="AK206" s="32"/>
      <c r="AL206" s="32"/>
      <c r="AM206" s="32"/>
      <c r="AN206" s="32"/>
      <c r="AO206" s="32"/>
      <c r="AP206" s="32"/>
      <c r="AQ206" s="32"/>
    </row>
    <row r="207" spans="1:43" ht="15.75" customHeight="1">
      <c r="A207" s="441" t="s">
        <v>3847</v>
      </c>
      <c r="B207" s="14" t="s">
        <v>429</v>
      </c>
      <c r="C207" s="246" t="s">
        <v>1074</v>
      </c>
      <c r="D207" s="232"/>
      <c r="E207" s="52"/>
      <c r="F207" s="16" t="s">
        <v>1721</v>
      </c>
      <c r="G207" s="32"/>
      <c r="H207" s="48" t="s">
        <v>1722</v>
      </c>
      <c r="I207" s="43" t="s">
        <v>1723</v>
      </c>
      <c r="J207" s="82" t="s">
        <v>1724</v>
      </c>
      <c r="K207" s="163"/>
      <c r="L207" s="163" t="s">
        <v>1725</v>
      </c>
      <c r="M207" s="53" t="s">
        <v>1726</v>
      </c>
      <c r="N207" s="73" t="s">
        <v>1727</v>
      </c>
      <c r="O207" s="73" t="s">
        <v>1728</v>
      </c>
      <c r="P207" s="74"/>
      <c r="Q207" s="75" t="s">
        <v>1729</v>
      </c>
      <c r="R207" s="32" t="s">
        <v>1730</v>
      </c>
      <c r="S207" s="32" t="s">
        <v>383</v>
      </c>
      <c r="T207" s="104"/>
      <c r="U207" s="105" t="s">
        <v>1084</v>
      </c>
      <c r="V207" s="105" t="s">
        <v>1731</v>
      </c>
      <c r="W207" s="29" t="s">
        <v>398</v>
      </c>
      <c r="X207" s="29" t="s">
        <v>477</v>
      </c>
      <c r="Y207" s="30" t="s">
        <v>1732</v>
      </c>
      <c r="Z207" s="30"/>
      <c r="AA207" s="30"/>
      <c r="AB207" s="31" t="s">
        <v>1733</v>
      </c>
      <c r="AC207" s="32" t="s">
        <v>1734</v>
      </c>
      <c r="AD207" s="21"/>
      <c r="AE207" s="32"/>
      <c r="AF207" s="32"/>
      <c r="AG207" s="32"/>
      <c r="AH207" s="32"/>
      <c r="AI207" s="32"/>
      <c r="AJ207" s="32"/>
      <c r="AK207" s="32"/>
      <c r="AL207" s="32"/>
      <c r="AM207" s="32"/>
      <c r="AN207" s="32"/>
      <c r="AO207" s="32"/>
      <c r="AP207" s="32"/>
      <c r="AQ207" s="32"/>
    </row>
    <row r="208" spans="1:43" ht="15.75" customHeight="1">
      <c r="A208" s="441" t="s">
        <v>1735</v>
      </c>
      <c r="B208" s="14" t="s">
        <v>429</v>
      </c>
      <c r="C208" s="248" t="s">
        <v>1736</v>
      </c>
      <c r="D208" s="232"/>
      <c r="E208" s="58"/>
      <c r="F208" s="16" t="s">
        <v>1737</v>
      </c>
      <c r="G208" s="32"/>
      <c r="H208" s="48" t="s">
        <v>1738</v>
      </c>
      <c r="I208" s="43" t="s">
        <v>1006</v>
      </c>
      <c r="J208" s="100" t="s">
        <v>876</v>
      </c>
      <c r="K208" s="98"/>
      <c r="L208" s="35"/>
      <c r="M208" s="43" t="s">
        <v>878</v>
      </c>
      <c r="N208" s="38" t="s">
        <v>1739</v>
      </c>
      <c r="O208" s="54"/>
      <c r="P208" s="55"/>
      <c r="Q208" s="56"/>
      <c r="R208" s="115" t="s">
        <v>537</v>
      </c>
      <c r="S208" s="32" t="s">
        <v>383</v>
      </c>
      <c r="T208" s="157"/>
      <c r="U208" s="158"/>
      <c r="V208" s="158"/>
      <c r="W208" s="29"/>
      <c r="X208" s="29"/>
      <c r="Y208" s="61" t="s">
        <v>1740</v>
      </c>
      <c r="Z208" s="30" t="s">
        <v>1741</v>
      </c>
      <c r="AA208" s="30" t="s">
        <v>1742</v>
      </c>
      <c r="AB208" s="41"/>
      <c r="AC208" s="32"/>
      <c r="AD208" s="21"/>
      <c r="AE208" s="32"/>
      <c r="AF208" s="32"/>
      <c r="AG208" s="32"/>
      <c r="AH208" s="32"/>
      <c r="AI208" s="32"/>
      <c r="AJ208" s="32"/>
      <c r="AK208" s="32"/>
      <c r="AL208" s="32"/>
      <c r="AM208" s="32"/>
      <c r="AN208" s="32"/>
      <c r="AO208" s="32"/>
      <c r="AP208" s="32"/>
      <c r="AQ208" s="32"/>
    </row>
    <row r="209" spans="1:43" ht="15.75" customHeight="1">
      <c r="A209" s="441" t="s">
        <v>1743</v>
      </c>
      <c r="B209" s="14" t="s">
        <v>429</v>
      </c>
      <c r="C209" s="247" t="s">
        <v>170</v>
      </c>
      <c r="D209" s="232"/>
      <c r="E209" s="58"/>
      <c r="F209" s="47" t="s">
        <v>1744</v>
      </c>
      <c r="G209" s="32" t="s">
        <v>1745</v>
      </c>
      <c r="H209" s="48" t="s">
        <v>1746</v>
      </c>
      <c r="I209" s="43" t="s">
        <v>1747</v>
      </c>
      <c r="J209" s="22" t="s">
        <v>1748</v>
      </c>
      <c r="K209" s="98"/>
      <c r="L209" s="98"/>
      <c r="M209" s="53" t="s">
        <v>1749</v>
      </c>
      <c r="N209" s="54" t="s">
        <v>1711</v>
      </c>
      <c r="O209" s="54"/>
      <c r="P209" s="55"/>
      <c r="Q209" s="56"/>
      <c r="R209" s="148" t="s">
        <v>1053</v>
      </c>
      <c r="S209" s="32" t="s">
        <v>41</v>
      </c>
      <c r="T209" s="21"/>
      <c r="U209" s="28" t="s">
        <v>1054</v>
      </c>
      <c r="V209" s="143" t="s">
        <v>1750</v>
      </c>
      <c r="W209" s="111"/>
      <c r="X209" s="111"/>
      <c r="Y209" s="30" t="s">
        <v>1751</v>
      </c>
      <c r="Z209" s="164"/>
      <c r="AA209" s="164"/>
      <c r="AB209" s="31" t="s">
        <v>1056</v>
      </c>
      <c r="AC209" s="21" t="s">
        <v>1209</v>
      </c>
      <c r="AD209" s="21"/>
      <c r="AE209" s="32"/>
      <c r="AF209" s="32"/>
      <c r="AG209" s="32"/>
      <c r="AH209" s="32"/>
      <c r="AI209" s="32"/>
      <c r="AJ209" s="32"/>
      <c r="AK209" s="32"/>
      <c r="AL209" s="32"/>
      <c r="AM209" s="32"/>
      <c r="AN209" s="32"/>
      <c r="AO209" s="32"/>
      <c r="AP209" s="32"/>
      <c r="AQ209" s="32"/>
    </row>
    <row r="210" spans="1:43" ht="15.75" customHeight="1">
      <c r="A210" s="441" t="s">
        <v>1752</v>
      </c>
      <c r="B210" s="14" t="s">
        <v>996</v>
      </c>
      <c r="C210" s="247" t="s">
        <v>170</v>
      </c>
      <c r="D210" s="232"/>
      <c r="E210" s="58"/>
      <c r="F210" s="32" t="s">
        <v>1089</v>
      </c>
      <c r="G210" s="32" t="s">
        <v>1753</v>
      </c>
      <c r="H210" s="48" t="s">
        <v>1754</v>
      </c>
      <c r="I210" s="43" t="s">
        <v>1755</v>
      </c>
      <c r="J210" s="103" t="s">
        <v>1634</v>
      </c>
      <c r="K210" s="98"/>
      <c r="L210" s="98"/>
      <c r="M210" s="53" t="s">
        <v>1339</v>
      </c>
      <c r="N210" s="54" t="s">
        <v>1756</v>
      </c>
      <c r="O210" s="54"/>
      <c r="P210" s="55"/>
      <c r="Q210" s="56"/>
      <c r="R210" s="148" t="s">
        <v>1256</v>
      </c>
      <c r="S210" s="32" t="s">
        <v>41</v>
      </c>
      <c r="T210" s="21"/>
      <c r="U210" s="28" t="s">
        <v>1054</v>
      </c>
      <c r="V210" s="143" t="s">
        <v>1757</v>
      </c>
      <c r="W210" s="111"/>
      <c r="X210" s="111"/>
      <c r="Y210" s="30" t="s">
        <v>1758</v>
      </c>
      <c r="Z210" s="164"/>
      <c r="AA210" s="164"/>
      <c r="AB210" s="31" t="s">
        <v>1056</v>
      </c>
      <c r="AC210" s="21" t="s">
        <v>1209</v>
      </c>
      <c r="AD210" s="21"/>
      <c r="AE210" s="32"/>
      <c r="AF210" s="32"/>
      <c r="AG210" s="32"/>
      <c r="AH210" s="32"/>
      <c r="AI210" s="32"/>
      <c r="AJ210" s="32"/>
      <c r="AK210" s="32"/>
      <c r="AL210" s="32"/>
      <c r="AM210" s="32"/>
      <c r="AN210" s="32"/>
      <c r="AO210" s="32"/>
      <c r="AP210" s="32"/>
      <c r="AQ210" s="32"/>
    </row>
    <row r="211" spans="1:43" ht="15.75" customHeight="1">
      <c r="A211" s="441" t="s">
        <v>3846</v>
      </c>
      <c r="B211" s="14" t="s">
        <v>996</v>
      </c>
      <c r="C211" s="246" t="s">
        <v>1759</v>
      </c>
      <c r="D211" s="232"/>
      <c r="E211" s="58"/>
      <c r="F211" s="32" t="s">
        <v>1089</v>
      </c>
      <c r="G211" s="32" t="s">
        <v>1760</v>
      </c>
      <c r="H211" s="48" t="s">
        <v>1761</v>
      </c>
      <c r="I211" s="43" t="s">
        <v>1762</v>
      </c>
      <c r="J211" s="107" t="s">
        <v>1763</v>
      </c>
      <c r="K211" s="35"/>
      <c r="L211" s="35"/>
      <c r="M211" s="53" t="s">
        <v>1339</v>
      </c>
      <c r="N211" s="54" t="s">
        <v>1764</v>
      </c>
      <c r="O211" s="54"/>
      <c r="P211" s="55"/>
      <c r="Q211" s="56"/>
      <c r="R211" s="148" t="s">
        <v>1256</v>
      </c>
      <c r="S211" s="32" t="s">
        <v>41</v>
      </c>
      <c r="T211" s="21"/>
      <c r="U211" s="28" t="s">
        <v>1054</v>
      </c>
      <c r="V211" s="143" t="s">
        <v>1765</v>
      </c>
      <c r="W211" s="111"/>
      <c r="X211" s="111"/>
      <c r="Y211" s="30" t="s">
        <v>1766</v>
      </c>
      <c r="Z211" s="164"/>
      <c r="AA211" s="164"/>
      <c r="AB211" s="31" t="s">
        <v>1056</v>
      </c>
      <c r="AC211" s="21" t="s">
        <v>1209</v>
      </c>
      <c r="AD211" s="21"/>
      <c r="AE211" s="32"/>
      <c r="AF211" s="32"/>
      <c r="AG211" s="32"/>
      <c r="AH211" s="32"/>
      <c r="AI211" s="32"/>
      <c r="AJ211" s="32"/>
      <c r="AK211" s="32"/>
      <c r="AL211" s="32"/>
      <c r="AM211" s="32"/>
      <c r="AN211" s="32"/>
      <c r="AO211" s="32"/>
      <c r="AP211" s="32"/>
      <c r="AQ211" s="32"/>
    </row>
    <row r="212" spans="1:43" ht="15.75" customHeight="1">
      <c r="A212" s="441" t="s">
        <v>1767</v>
      </c>
      <c r="B212" s="14" t="s">
        <v>429</v>
      </c>
      <c r="C212" s="247" t="s">
        <v>170</v>
      </c>
      <c r="D212" s="232"/>
      <c r="E212" s="58"/>
      <c r="F212" s="16" t="s">
        <v>1768</v>
      </c>
      <c r="G212" s="32"/>
      <c r="H212" s="48" t="s">
        <v>1769</v>
      </c>
      <c r="I212" s="43" t="s">
        <v>1770</v>
      </c>
      <c r="J212" s="82"/>
      <c r="K212" s="82"/>
      <c r="L212" s="82"/>
      <c r="M212" s="53" t="s">
        <v>104</v>
      </c>
      <c r="N212" s="38" t="s">
        <v>1771</v>
      </c>
      <c r="O212" s="38"/>
      <c r="P212" s="25" t="s">
        <v>38</v>
      </c>
      <c r="Q212" s="26" t="s">
        <v>39</v>
      </c>
      <c r="R212" s="115" t="s">
        <v>79</v>
      </c>
      <c r="S212" s="32" t="s">
        <v>714</v>
      </c>
      <c r="T212" s="119"/>
      <c r="U212" s="120" t="s">
        <v>1772</v>
      </c>
      <c r="V212" s="120" t="s">
        <v>1773</v>
      </c>
      <c r="W212" s="111" t="s">
        <v>1772</v>
      </c>
      <c r="X212" s="111" t="s">
        <v>716</v>
      </c>
      <c r="Y212" s="164" t="s">
        <v>1774</v>
      </c>
      <c r="Z212" s="164"/>
      <c r="AA212" s="164"/>
      <c r="AB212" s="146" t="s">
        <v>1775</v>
      </c>
      <c r="AC212" s="32" t="s">
        <v>1776</v>
      </c>
      <c r="AD212" s="21"/>
      <c r="AE212" s="32"/>
      <c r="AF212" s="32"/>
      <c r="AG212" s="32"/>
      <c r="AH212" s="32"/>
      <c r="AI212" s="32"/>
      <c r="AJ212" s="32"/>
      <c r="AK212" s="32"/>
      <c r="AL212" s="32"/>
      <c r="AM212" s="32"/>
      <c r="AN212" s="32"/>
      <c r="AO212" s="32"/>
      <c r="AP212" s="32"/>
      <c r="AQ212" s="32"/>
    </row>
    <row r="213" spans="1:43" ht="15.75" customHeight="1">
      <c r="A213" s="441" t="s">
        <v>3845</v>
      </c>
      <c r="B213" s="14" t="s">
        <v>429</v>
      </c>
      <c r="C213" s="253" t="s">
        <v>1777</v>
      </c>
      <c r="D213" s="232"/>
      <c r="E213" s="58"/>
      <c r="F213" s="32" t="s">
        <v>1089</v>
      </c>
      <c r="G213" s="39"/>
      <c r="H213" s="48" t="s">
        <v>1778</v>
      </c>
      <c r="I213" s="43" t="s">
        <v>1779</v>
      </c>
      <c r="J213" s="98"/>
      <c r="K213" s="82"/>
      <c r="L213" s="82" t="s">
        <v>1780</v>
      </c>
      <c r="M213" s="36" t="s">
        <v>1781</v>
      </c>
      <c r="N213" s="38" t="s">
        <v>1782</v>
      </c>
      <c r="O213" s="38"/>
      <c r="P213" s="25"/>
      <c r="Q213" s="26"/>
      <c r="R213" s="113" t="s">
        <v>938</v>
      </c>
      <c r="S213" s="32" t="s">
        <v>41</v>
      </c>
      <c r="T213" s="119" t="s">
        <v>1783</v>
      </c>
      <c r="U213" s="120"/>
      <c r="V213" s="120"/>
      <c r="W213" s="111"/>
      <c r="X213" s="111"/>
      <c r="Y213" s="164"/>
      <c r="Z213" s="164"/>
      <c r="AA213" s="164"/>
      <c r="AB213" s="165"/>
      <c r="AC213" s="32"/>
      <c r="AD213" s="21" t="s">
        <v>3929</v>
      </c>
      <c r="AE213" s="32"/>
      <c r="AF213" s="32"/>
      <c r="AG213" s="32"/>
      <c r="AH213" s="32"/>
      <c r="AI213" s="32"/>
      <c r="AJ213" s="32"/>
      <c r="AK213" s="32"/>
      <c r="AL213" s="32"/>
      <c r="AM213" s="32"/>
      <c r="AN213" s="32"/>
      <c r="AO213" s="32"/>
      <c r="AP213" s="32"/>
      <c r="AQ213" s="32"/>
    </row>
    <row r="214" spans="1:43" ht="15.75" customHeight="1">
      <c r="A214" s="441" t="s">
        <v>1784</v>
      </c>
      <c r="B214" s="14" t="s">
        <v>429</v>
      </c>
      <c r="C214" s="247" t="s">
        <v>170</v>
      </c>
      <c r="D214" s="232"/>
      <c r="E214" s="58"/>
      <c r="F214" s="32" t="s">
        <v>1089</v>
      </c>
      <c r="G214" s="32" t="s">
        <v>1785</v>
      </c>
      <c r="H214" s="48" t="s">
        <v>1786</v>
      </c>
      <c r="I214" s="43" t="s">
        <v>1787</v>
      </c>
      <c r="J214" s="22" t="s">
        <v>1788</v>
      </c>
      <c r="K214" s="98"/>
      <c r="L214" s="98"/>
      <c r="M214" s="53" t="s">
        <v>1339</v>
      </c>
      <c r="N214" s="134" t="s">
        <v>1789</v>
      </c>
      <c r="O214" s="134"/>
      <c r="P214" s="55"/>
      <c r="Q214" s="56"/>
      <c r="R214" s="148" t="s">
        <v>1053</v>
      </c>
      <c r="S214" s="32" t="s">
        <v>41</v>
      </c>
      <c r="T214" s="21" t="s">
        <v>1790</v>
      </c>
      <c r="U214" s="28" t="s">
        <v>1054</v>
      </c>
      <c r="V214" s="143" t="s">
        <v>1791</v>
      </c>
      <c r="W214" s="111"/>
      <c r="X214" s="111"/>
      <c r="Y214" s="30" t="s">
        <v>1792</v>
      </c>
      <c r="Z214" s="164"/>
      <c r="AA214" s="164"/>
      <c r="AB214" s="31" t="s">
        <v>1056</v>
      </c>
      <c r="AC214" s="21" t="s">
        <v>1209</v>
      </c>
      <c r="AD214" s="21"/>
      <c r="AE214" s="32"/>
      <c r="AF214" s="32"/>
      <c r="AG214" s="32"/>
      <c r="AH214" s="32"/>
      <c r="AI214" s="32"/>
      <c r="AJ214" s="32"/>
      <c r="AK214" s="32"/>
      <c r="AL214" s="32"/>
      <c r="AM214" s="32"/>
      <c r="AN214" s="32"/>
      <c r="AO214" s="32"/>
      <c r="AP214" s="32"/>
      <c r="AQ214" s="32"/>
    </row>
    <row r="215" spans="1:43" ht="15.75" customHeight="1">
      <c r="A215" s="441" t="s">
        <v>1793</v>
      </c>
      <c r="B215" s="14" t="s">
        <v>429</v>
      </c>
      <c r="C215" s="253" t="s">
        <v>1794</v>
      </c>
      <c r="D215" s="232"/>
      <c r="E215" s="58"/>
      <c r="F215" s="47" t="s">
        <v>1795</v>
      </c>
      <c r="G215" s="32" t="s">
        <v>1796</v>
      </c>
      <c r="H215" s="32" t="s">
        <v>1797</v>
      </c>
      <c r="I215" s="43" t="s">
        <v>1798</v>
      </c>
      <c r="J215" s="22" t="s">
        <v>1788</v>
      </c>
      <c r="K215" s="35"/>
      <c r="L215" s="98"/>
      <c r="M215" s="53" t="s">
        <v>1339</v>
      </c>
      <c r="N215" s="54" t="s">
        <v>1799</v>
      </c>
      <c r="O215" s="54"/>
      <c r="P215" s="55"/>
      <c r="Q215" s="56"/>
      <c r="R215" s="148" t="s">
        <v>1053</v>
      </c>
      <c r="S215" s="32" t="s">
        <v>41</v>
      </c>
      <c r="T215" s="21"/>
      <c r="U215" s="28" t="s">
        <v>1054</v>
      </c>
      <c r="V215" s="143" t="s">
        <v>1800</v>
      </c>
      <c r="W215" s="111"/>
      <c r="X215" s="111"/>
      <c r="Y215" s="30" t="s">
        <v>1801</v>
      </c>
      <c r="Z215" s="164"/>
      <c r="AA215" s="164"/>
      <c r="AB215" s="31" t="s">
        <v>1056</v>
      </c>
      <c r="AC215" s="21" t="s">
        <v>1209</v>
      </c>
      <c r="AD215" s="21"/>
      <c r="AE215" s="32"/>
      <c r="AF215" s="32"/>
      <c r="AG215" s="32"/>
      <c r="AH215" s="32"/>
      <c r="AI215" s="32"/>
      <c r="AJ215" s="32"/>
      <c r="AK215" s="32"/>
      <c r="AL215" s="32"/>
      <c r="AM215" s="32"/>
      <c r="AN215" s="32"/>
      <c r="AO215" s="32"/>
      <c r="AP215" s="32"/>
      <c r="AQ215" s="32"/>
    </row>
    <row r="216" spans="1:43" ht="15.75" customHeight="1">
      <c r="A216" s="441" t="s">
        <v>1802</v>
      </c>
      <c r="B216" s="14" t="s">
        <v>429</v>
      </c>
      <c r="C216" s="247" t="s">
        <v>170</v>
      </c>
      <c r="D216" s="232"/>
      <c r="E216" s="58"/>
      <c r="F216" s="16" t="s">
        <v>1803</v>
      </c>
      <c r="G216" s="32"/>
      <c r="H216" s="32" t="s">
        <v>1804</v>
      </c>
      <c r="I216" s="43" t="s">
        <v>1805</v>
      </c>
      <c r="J216" s="22" t="s">
        <v>1806</v>
      </c>
      <c r="K216" s="22"/>
      <c r="L216" s="166"/>
      <c r="M216" s="53" t="s">
        <v>1339</v>
      </c>
      <c r="N216" s="54" t="s">
        <v>1807</v>
      </c>
      <c r="O216" s="54"/>
      <c r="P216" s="55"/>
      <c r="Q216" s="56"/>
      <c r="R216" s="53" t="s">
        <v>1808</v>
      </c>
      <c r="S216" s="53" t="s">
        <v>41</v>
      </c>
      <c r="T216" s="21"/>
      <c r="U216" s="28"/>
      <c r="V216" s="28"/>
      <c r="W216" s="29"/>
      <c r="X216" s="29"/>
      <c r="Y216" s="30"/>
      <c r="Z216" s="30"/>
      <c r="AA216" s="30"/>
      <c r="AB216" s="41"/>
      <c r="AC216" s="32"/>
      <c r="AD216" s="21"/>
      <c r="AE216" s="32"/>
      <c r="AF216" s="32"/>
      <c r="AG216" s="32"/>
      <c r="AH216" s="32"/>
      <c r="AI216" s="32"/>
      <c r="AJ216" s="32"/>
      <c r="AK216" s="32"/>
      <c r="AL216" s="32"/>
      <c r="AM216" s="32"/>
      <c r="AN216" s="32"/>
      <c r="AO216" s="32"/>
      <c r="AP216" s="32"/>
      <c r="AQ216" s="32"/>
    </row>
    <row r="217" spans="1:43" ht="15.75" customHeight="1">
      <c r="A217" s="441" t="s">
        <v>1809</v>
      </c>
      <c r="B217" s="14" t="s">
        <v>996</v>
      </c>
      <c r="C217" s="440" t="s">
        <v>4005</v>
      </c>
      <c r="D217" s="232" t="s">
        <v>4004</v>
      </c>
      <c r="E217" s="58"/>
      <c r="F217" s="32" t="s">
        <v>1089</v>
      </c>
      <c r="G217" s="32" t="s">
        <v>1810</v>
      </c>
      <c r="H217" s="32" t="s">
        <v>1811</v>
      </c>
      <c r="I217" s="43" t="s">
        <v>1812</v>
      </c>
      <c r="J217" s="22"/>
      <c r="K217" s="22"/>
      <c r="L217" s="22"/>
      <c r="M217" s="53" t="s">
        <v>1813</v>
      </c>
      <c r="N217" s="54" t="s">
        <v>1814</v>
      </c>
      <c r="O217" s="54"/>
      <c r="P217" s="55"/>
      <c r="Q217" s="318" t="s">
        <v>4006</v>
      </c>
      <c r="R217" s="115" t="s">
        <v>382</v>
      </c>
      <c r="S217" s="32" t="s">
        <v>41</v>
      </c>
      <c r="T217" s="21" t="s">
        <v>1815</v>
      </c>
      <c r="U217" s="28"/>
      <c r="V217" s="28"/>
      <c r="W217" s="29"/>
      <c r="X217" s="29"/>
      <c r="Y217" s="30" t="s">
        <v>83</v>
      </c>
      <c r="Z217" s="30"/>
      <c r="AA217" s="30"/>
      <c r="AB217" s="41"/>
      <c r="AC217" s="32"/>
      <c r="AD217" s="21"/>
      <c r="AE217" s="32"/>
      <c r="AF217" s="32"/>
      <c r="AG217" s="32"/>
      <c r="AH217" s="32"/>
      <c r="AI217" s="32"/>
      <c r="AJ217" s="32"/>
      <c r="AK217" s="32"/>
      <c r="AL217" s="32"/>
      <c r="AM217" s="32"/>
      <c r="AN217" s="32"/>
      <c r="AO217" s="32"/>
      <c r="AP217" s="32"/>
      <c r="AQ217" s="32"/>
    </row>
    <row r="218" spans="1:43" ht="15.75" customHeight="1">
      <c r="A218" s="441" t="s">
        <v>1816</v>
      </c>
      <c r="B218" s="14" t="s">
        <v>996</v>
      </c>
      <c r="C218" s="247" t="s">
        <v>4007</v>
      </c>
      <c r="D218" s="232"/>
      <c r="E218" s="58"/>
      <c r="F218" s="32" t="s">
        <v>1089</v>
      </c>
      <c r="G218" s="32" t="s">
        <v>1817</v>
      </c>
      <c r="H218" s="32" t="s">
        <v>1818</v>
      </c>
      <c r="I218" s="43" t="s">
        <v>1819</v>
      </c>
      <c r="J218" s="22"/>
      <c r="K218" s="82"/>
      <c r="L218" s="82"/>
      <c r="M218" s="167" t="s">
        <v>1820</v>
      </c>
      <c r="N218" s="54" t="s">
        <v>1821</v>
      </c>
      <c r="O218" s="54"/>
      <c r="P218" s="55"/>
      <c r="Q218" s="56"/>
      <c r="R218" s="33" t="s">
        <v>1542</v>
      </c>
      <c r="S218" s="32" t="s">
        <v>41</v>
      </c>
      <c r="T218" s="104" t="s">
        <v>1822</v>
      </c>
      <c r="U218" s="105"/>
      <c r="V218" s="105"/>
      <c r="W218" s="29"/>
      <c r="X218" s="29"/>
      <c r="Y218" s="30"/>
      <c r="Z218" s="30"/>
      <c r="AA218" s="30"/>
      <c r="AB218" s="41"/>
      <c r="AC218" s="32"/>
      <c r="AD218" s="21"/>
      <c r="AE218" s="32"/>
      <c r="AF218" s="32"/>
      <c r="AG218" s="32"/>
      <c r="AH218" s="32"/>
      <c r="AI218" s="32"/>
      <c r="AJ218" s="32"/>
      <c r="AK218" s="32"/>
      <c r="AL218" s="32"/>
      <c r="AM218" s="32"/>
      <c r="AN218" s="32"/>
      <c r="AO218" s="32"/>
      <c r="AP218" s="32"/>
      <c r="AQ218" s="32"/>
    </row>
    <row r="219" spans="1:43" ht="15.75" customHeight="1">
      <c r="A219" s="441" t="s">
        <v>1823</v>
      </c>
      <c r="B219" s="32" t="s">
        <v>1824</v>
      </c>
      <c r="C219" s="247" t="s">
        <v>170</v>
      </c>
      <c r="D219" s="232"/>
      <c r="E219" s="58"/>
      <c r="F219" s="47" t="s">
        <v>1825</v>
      </c>
      <c r="G219" s="32"/>
      <c r="H219" s="48" t="s">
        <v>1826</v>
      </c>
      <c r="I219" s="43" t="s">
        <v>1827</v>
      </c>
      <c r="J219" s="82"/>
      <c r="K219" s="82"/>
      <c r="L219" s="82"/>
      <c r="M219" s="53" t="s">
        <v>1828</v>
      </c>
      <c r="N219" s="62" t="s">
        <v>1829</v>
      </c>
      <c r="O219" s="62" t="s">
        <v>730</v>
      </c>
      <c r="P219" s="63"/>
      <c r="Q219" s="64" t="s">
        <v>1830</v>
      </c>
      <c r="R219" s="32" t="s">
        <v>517</v>
      </c>
      <c r="S219" s="32" t="s">
        <v>383</v>
      </c>
      <c r="T219" s="21"/>
      <c r="U219" s="28"/>
      <c r="V219" s="28"/>
      <c r="W219" s="29"/>
      <c r="X219" s="29"/>
      <c r="Y219" s="168" t="s">
        <v>1831</v>
      </c>
      <c r="Z219" s="30" t="s">
        <v>1832</v>
      </c>
      <c r="AA219" s="30" t="s">
        <v>1833</v>
      </c>
      <c r="AB219" s="41"/>
      <c r="AC219" s="32"/>
      <c r="AD219" s="21"/>
      <c r="AE219" s="32"/>
      <c r="AF219" s="32"/>
      <c r="AG219" s="32"/>
      <c r="AH219" s="32"/>
      <c r="AI219" s="32"/>
      <c r="AJ219" s="32"/>
      <c r="AK219" s="32"/>
      <c r="AL219" s="32"/>
      <c r="AM219" s="32"/>
      <c r="AN219" s="32"/>
      <c r="AO219" s="32"/>
      <c r="AP219" s="32"/>
      <c r="AQ219" s="32"/>
    </row>
    <row r="220" spans="1:43" ht="15.75" customHeight="1">
      <c r="A220" s="441" t="s">
        <v>1834</v>
      </c>
      <c r="B220" s="32" t="s">
        <v>1835</v>
      </c>
      <c r="C220" s="247" t="s">
        <v>170</v>
      </c>
      <c r="D220" s="231"/>
      <c r="E220" s="58"/>
      <c r="F220" s="47" t="s">
        <v>1836</v>
      </c>
      <c r="G220" s="32" t="s">
        <v>1837</v>
      </c>
      <c r="H220" s="48" t="s">
        <v>1838</v>
      </c>
      <c r="I220" s="43" t="s">
        <v>1839</v>
      </c>
      <c r="J220" s="82" t="s">
        <v>1710</v>
      </c>
      <c r="K220" s="98"/>
      <c r="L220" s="35"/>
      <c r="M220" s="53" t="s">
        <v>1339</v>
      </c>
      <c r="N220" s="73" t="s">
        <v>1840</v>
      </c>
      <c r="O220" s="73"/>
      <c r="P220" s="74"/>
      <c r="Q220" s="75"/>
      <c r="R220" s="148" t="s">
        <v>1256</v>
      </c>
      <c r="S220" s="32" t="s">
        <v>41</v>
      </c>
      <c r="T220" s="21"/>
      <c r="U220" s="28"/>
      <c r="V220" s="28"/>
      <c r="W220" s="72"/>
      <c r="X220" s="72"/>
      <c r="Y220" s="30"/>
      <c r="Z220" s="30"/>
      <c r="AA220" s="30"/>
      <c r="AB220" s="41"/>
      <c r="AC220" s="32"/>
      <c r="AD220" s="21"/>
      <c r="AE220" s="32"/>
      <c r="AF220" s="32"/>
      <c r="AG220" s="32"/>
      <c r="AH220" s="32"/>
      <c r="AI220" s="32"/>
      <c r="AJ220" s="32"/>
      <c r="AK220" s="32"/>
      <c r="AL220" s="32"/>
      <c r="AM220" s="32"/>
      <c r="AN220" s="32"/>
      <c r="AO220" s="32"/>
      <c r="AP220" s="32"/>
      <c r="AQ220" s="32"/>
    </row>
    <row r="221" spans="1:43" ht="15.75" customHeight="1">
      <c r="A221" s="441" t="s">
        <v>1841</v>
      </c>
      <c r="B221" s="14" t="s">
        <v>429</v>
      </c>
      <c r="C221" s="246" t="s">
        <v>1842</v>
      </c>
      <c r="D221" s="232"/>
      <c r="E221" s="58"/>
      <c r="F221" s="16" t="s">
        <v>1843</v>
      </c>
      <c r="G221" s="32"/>
      <c r="H221" s="32" t="s">
        <v>1844</v>
      </c>
      <c r="I221" s="43" t="s">
        <v>1845</v>
      </c>
      <c r="J221" s="98"/>
      <c r="K221" s="103"/>
      <c r="L221" s="107" t="s">
        <v>495</v>
      </c>
      <c r="M221" s="53" t="s">
        <v>1846</v>
      </c>
      <c r="N221" s="54" t="s">
        <v>1847</v>
      </c>
      <c r="O221" s="54"/>
      <c r="R221" s="32" t="s">
        <v>370</v>
      </c>
      <c r="S221" s="32" t="s">
        <v>41</v>
      </c>
      <c r="T221" s="169" t="s">
        <v>1848</v>
      </c>
      <c r="U221" s="170"/>
      <c r="V221" s="170"/>
      <c r="W221" s="29" t="s">
        <v>3206</v>
      </c>
      <c r="X221" s="29" t="s">
        <v>4019</v>
      </c>
      <c r="Y221" s="227" t="s">
        <v>4020</v>
      </c>
      <c r="Z221" s="30"/>
      <c r="AA221" s="30"/>
      <c r="AB221" s="46" t="s">
        <v>1849</v>
      </c>
      <c r="AC221" s="32"/>
      <c r="AD221" s="21"/>
      <c r="AE221" s="32"/>
      <c r="AF221" s="32"/>
      <c r="AG221" s="32"/>
      <c r="AH221" s="32"/>
      <c r="AI221" s="32"/>
      <c r="AJ221" s="32"/>
      <c r="AK221" s="32"/>
      <c r="AL221" s="32"/>
      <c r="AM221" s="32"/>
      <c r="AN221" s="32"/>
      <c r="AO221" s="32"/>
      <c r="AP221" s="32"/>
      <c r="AQ221" s="32"/>
    </row>
    <row r="222" spans="1:43" ht="15.75" customHeight="1">
      <c r="A222" s="441" t="s">
        <v>3844</v>
      </c>
      <c r="B222" s="14" t="s">
        <v>429</v>
      </c>
      <c r="C222" s="246" t="s">
        <v>1850</v>
      </c>
      <c r="D222" s="232"/>
      <c r="E222" s="58"/>
      <c r="F222" s="16" t="s">
        <v>1851</v>
      </c>
      <c r="G222" s="32"/>
      <c r="H222" s="32" t="s">
        <v>1852</v>
      </c>
      <c r="I222" s="43" t="s">
        <v>1853</v>
      </c>
      <c r="J222" s="35" t="s">
        <v>1854</v>
      </c>
      <c r="K222" s="82"/>
      <c r="L222" s="82"/>
      <c r="M222" s="53" t="s">
        <v>1855</v>
      </c>
      <c r="N222" s="38" t="s">
        <v>1856</v>
      </c>
      <c r="O222" s="38" t="s">
        <v>106</v>
      </c>
      <c r="P222" s="171" t="s">
        <v>1857</v>
      </c>
      <c r="Q222" s="26" t="s">
        <v>1858</v>
      </c>
      <c r="R222" s="32" t="s">
        <v>370</v>
      </c>
      <c r="S222" s="32" t="s">
        <v>41</v>
      </c>
      <c r="T222" s="305" t="s">
        <v>1859</v>
      </c>
      <c r="U222" s="105"/>
      <c r="V222" s="105"/>
      <c r="W222" s="29"/>
      <c r="X222" s="29"/>
      <c r="Y222" s="227"/>
      <c r="Z222" s="30"/>
      <c r="AA222" s="30"/>
      <c r="AB222" s="41"/>
      <c r="AC222" s="32"/>
      <c r="AD222" s="21"/>
      <c r="AE222" s="32"/>
      <c r="AF222" s="32"/>
      <c r="AG222" s="32"/>
      <c r="AH222" s="32"/>
      <c r="AI222" s="32"/>
      <c r="AJ222" s="32"/>
      <c r="AK222" s="32"/>
      <c r="AL222" s="32"/>
      <c r="AM222" s="32"/>
      <c r="AN222" s="32"/>
      <c r="AO222" s="32"/>
      <c r="AP222" s="32"/>
      <c r="AQ222" s="32"/>
    </row>
    <row r="223" spans="1:43" ht="15.75" customHeight="1">
      <c r="A223" s="441" t="s">
        <v>1860</v>
      </c>
      <c r="B223" s="14" t="s">
        <v>429</v>
      </c>
      <c r="C223" s="248" t="s">
        <v>1861</v>
      </c>
      <c r="D223" s="232"/>
      <c r="E223" s="58"/>
      <c r="F223" s="265" t="s">
        <v>1862</v>
      </c>
      <c r="G223" s="32" t="s">
        <v>1863</v>
      </c>
      <c r="H223" s="32" t="s">
        <v>1864</v>
      </c>
      <c r="I223" s="43" t="s">
        <v>1865</v>
      </c>
      <c r="J223" s="22" t="s">
        <v>1866</v>
      </c>
      <c r="K223" s="35"/>
      <c r="L223" s="35"/>
      <c r="M223" s="36" t="s">
        <v>1867</v>
      </c>
      <c r="N223" s="54" t="s">
        <v>1868</v>
      </c>
      <c r="O223" s="54"/>
      <c r="P223" s="172" t="s">
        <v>187</v>
      </c>
      <c r="Q223" s="56" t="s">
        <v>1869</v>
      </c>
      <c r="R223" s="32" t="s">
        <v>370</v>
      </c>
      <c r="S223" s="32" t="s">
        <v>41</v>
      </c>
      <c r="T223" s="157"/>
      <c r="U223" s="158"/>
      <c r="V223" s="158"/>
      <c r="W223" s="29" t="s">
        <v>1870</v>
      </c>
      <c r="X223" s="118" t="s">
        <v>1871</v>
      </c>
      <c r="Y223" s="487"/>
      <c r="Z223" s="30"/>
      <c r="AA223" s="30"/>
      <c r="AB223" s="46" t="s">
        <v>1872</v>
      </c>
      <c r="AC223" s="32" t="s">
        <v>1873</v>
      </c>
      <c r="AD223" s="21"/>
      <c r="AE223" s="32"/>
      <c r="AF223" s="32"/>
      <c r="AG223" s="32"/>
      <c r="AH223" s="32"/>
      <c r="AI223" s="32"/>
      <c r="AJ223" s="32"/>
      <c r="AK223" s="32"/>
      <c r="AL223" s="32"/>
      <c r="AM223" s="32"/>
      <c r="AN223" s="32"/>
      <c r="AO223" s="32"/>
      <c r="AP223" s="32"/>
      <c r="AQ223" s="32"/>
    </row>
    <row r="224" spans="1:43" ht="15.75" customHeight="1">
      <c r="A224" s="441" t="s">
        <v>3842</v>
      </c>
      <c r="B224" s="14" t="s">
        <v>1900</v>
      </c>
      <c r="C224" s="364" t="s">
        <v>1901</v>
      </c>
      <c r="D224" s="229"/>
      <c r="E224" s="18"/>
      <c r="F224" s="175" t="s">
        <v>1902</v>
      </c>
      <c r="G224" s="17" t="s">
        <v>1903</v>
      </c>
      <c r="H224" s="48" t="s">
        <v>1904</v>
      </c>
      <c r="I224" s="43" t="s">
        <v>757</v>
      </c>
      <c r="J224" s="35"/>
      <c r="K224" s="22"/>
      <c r="L224" s="22" t="s">
        <v>1905</v>
      </c>
      <c r="M224" s="154" t="s">
        <v>1906</v>
      </c>
      <c r="N224" s="65" t="s">
        <v>1907</v>
      </c>
      <c r="O224" s="400"/>
      <c r="P224" s="59" t="s">
        <v>1908</v>
      </c>
      <c r="Q224" s="26" t="s">
        <v>1909</v>
      </c>
      <c r="R224" s="32" t="s">
        <v>370</v>
      </c>
      <c r="S224" s="32" t="s">
        <v>41</v>
      </c>
      <c r="T224" s="21"/>
      <c r="U224" s="28"/>
      <c r="V224" s="28"/>
      <c r="W224" s="29" t="s">
        <v>1910</v>
      </c>
      <c r="X224" s="118" t="s">
        <v>1911</v>
      </c>
      <c r="Y224" s="30" t="s">
        <v>1912</v>
      </c>
      <c r="Z224" s="30"/>
      <c r="AA224" s="30"/>
      <c r="AB224" s="41"/>
      <c r="AC224" s="32" t="s">
        <v>1913</v>
      </c>
      <c r="AD224" s="32"/>
      <c r="AE224" s="32"/>
      <c r="AF224" s="32"/>
      <c r="AG224" s="32"/>
      <c r="AH224" s="32"/>
      <c r="AI224" s="32"/>
      <c r="AJ224" s="32"/>
      <c r="AK224" s="32"/>
      <c r="AL224" s="32"/>
      <c r="AM224" s="32"/>
      <c r="AN224" s="32"/>
      <c r="AO224" s="32"/>
      <c r="AP224" s="32"/>
      <c r="AQ224" s="32"/>
    </row>
    <row r="225" spans="1:43" ht="15.75" customHeight="1">
      <c r="A225" s="441" t="s">
        <v>3843</v>
      </c>
      <c r="B225" s="14" t="s">
        <v>429</v>
      </c>
      <c r="C225" s="246" t="s">
        <v>1874</v>
      </c>
      <c r="D225" s="232"/>
      <c r="E225" s="58"/>
      <c r="F225" s="16" t="s">
        <v>1875</v>
      </c>
      <c r="G225" s="32"/>
      <c r="H225" s="32" t="s">
        <v>1876</v>
      </c>
      <c r="I225" s="43" t="s">
        <v>1877</v>
      </c>
      <c r="J225" s="22"/>
      <c r="K225" s="22"/>
      <c r="L225" s="22"/>
      <c r="M225" s="36" t="s">
        <v>1878</v>
      </c>
      <c r="N225" s="54" t="s">
        <v>1879</v>
      </c>
      <c r="O225" s="54"/>
      <c r="P225" s="55"/>
      <c r="Q225" s="56"/>
      <c r="R225" s="115" t="s">
        <v>79</v>
      </c>
      <c r="S225" s="32" t="s">
        <v>383</v>
      </c>
      <c r="T225" s="21"/>
      <c r="U225" s="28"/>
      <c r="V225" s="28"/>
      <c r="W225" s="29"/>
      <c r="X225" s="29"/>
      <c r="Y225" s="30"/>
      <c r="Z225" s="102"/>
      <c r="AA225" s="30"/>
      <c r="AB225" s="41"/>
      <c r="AC225" s="32"/>
      <c r="AD225" s="32"/>
      <c r="AE225" s="32"/>
      <c r="AF225" s="32"/>
      <c r="AG225" s="32"/>
      <c r="AH225" s="32"/>
      <c r="AI225" s="32"/>
      <c r="AJ225" s="32"/>
      <c r="AK225" s="32"/>
      <c r="AL225" s="32"/>
      <c r="AM225" s="32"/>
      <c r="AN225" s="32"/>
      <c r="AO225" s="32"/>
      <c r="AP225" s="32"/>
      <c r="AQ225" s="32"/>
    </row>
    <row r="226" spans="1:43" ht="15.75" customHeight="1">
      <c r="A226" s="441" t="s">
        <v>1880</v>
      </c>
      <c r="B226" s="14" t="s">
        <v>429</v>
      </c>
      <c r="C226" s="247" t="s">
        <v>170</v>
      </c>
      <c r="D226" s="232"/>
      <c r="E226" s="58"/>
      <c r="F226" s="16" t="s">
        <v>1881</v>
      </c>
      <c r="G226" s="32"/>
      <c r="H226" s="48" t="s">
        <v>1882</v>
      </c>
      <c r="I226" s="43" t="s">
        <v>1883</v>
      </c>
      <c r="J226" s="22"/>
      <c r="K226" s="22"/>
      <c r="L226" s="22"/>
      <c r="M226" s="135" t="s">
        <v>649</v>
      </c>
      <c r="N226" s="54" t="s">
        <v>1884</v>
      </c>
      <c r="O226" s="54"/>
      <c r="P226" s="74"/>
      <c r="Q226" s="56"/>
      <c r="R226" s="115" t="s">
        <v>537</v>
      </c>
      <c r="S226" s="32" t="s">
        <v>41</v>
      </c>
      <c r="T226" s="21"/>
      <c r="U226" s="28"/>
      <c r="V226" s="28"/>
      <c r="W226" s="29"/>
      <c r="X226" s="29"/>
      <c r="Y226" s="30"/>
      <c r="Z226" s="298" t="s">
        <v>1885</v>
      </c>
      <c r="AA226" s="30"/>
      <c r="AB226" s="41"/>
      <c r="AC226" s="32"/>
      <c r="AD226" s="32"/>
      <c r="AE226" s="32"/>
      <c r="AF226" s="32"/>
      <c r="AG226" s="32"/>
      <c r="AH226" s="32"/>
      <c r="AI226" s="32"/>
      <c r="AJ226" s="32"/>
      <c r="AK226" s="32"/>
      <c r="AL226" s="32"/>
      <c r="AM226" s="32"/>
      <c r="AN226" s="32"/>
      <c r="AO226" s="32"/>
      <c r="AP226" s="32"/>
      <c r="AQ226" s="32"/>
    </row>
    <row r="227" spans="1:43" ht="15.75" customHeight="1">
      <c r="A227" s="441" t="s">
        <v>1886</v>
      </c>
      <c r="B227" s="14" t="s">
        <v>996</v>
      </c>
      <c r="C227" s="247"/>
      <c r="D227" s="232"/>
      <c r="E227" s="58"/>
      <c r="F227" s="32" t="s">
        <v>1089</v>
      </c>
      <c r="G227" s="32" t="s">
        <v>1887</v>
      </c>
      <c r="H227" s="95" t="s">
        <v>1888</v>
      </c>
      <c r="I227" s="43" t="s">
        <v>1889</v>
      </c>
      <c r="J227" s="82"/>
      <c r="K227" s="82"/>
      <c r="L227" s="22"/>
      <c r="M227" s="53" t="s">
        <v>3938</v>
      </c>
      <c r="N227" s="54" t="s">
        <v>3979</v>
      </c>
      <c r="O227" s="394"/>
      <c r="P227" s="290" t="s">
        <v>1891</v>
      </c>
      <c r="Q227" s="290" t="s">
        <v>1892</v>
      </c>
      <c r="R227" s="115" t="s">
        <v>382</v>
      </c>
      <c r="S227" s="32" t="s">
        <v>383</v>
      </c>
      <c r="T227" s="21" t="s">
        <v>1890</v>
      </c>
      <c r="U227" s="173" t="s">
        <v>1891</v>
      </c>
      <c r="V227" s="174" t="s">
        <v>1892</v>
      </c>
      <c r="W227" s="29"/>
      <c r="X227" s="29"/>
      <c r="Y227" s="30" t="s">
        <v>1893</v>
      </c>
      <c r="Z227" s="30"/>
      <c r="AA227" s="30"/>
      <c r="AB227" s="41"/>
      <c r="AC227" s="32" t="s">
        <v>1894</v>
      </c>
      <c r="AD227" s="32"/>
      <c r="AE227" s="32"/>
      <c r="AF227" s="32"/>
      <c r="AG227" s="32"/>
      <c r="AH227" s="32"/>
      <c r="AI227" s="32"/>
      <c r="AJ227" s="32"/>
      <c r="AK227" s="32"/>
      <c r="AL227" s="32"/>
      <c r="AM227" s="32"/>
      <c r="AN227" s="32"/>
      <c r="AO227" s="32"/>
      <c r="AP227" s="32"/>
      <c r="AQ227" s="32"/>
    </row>
    <row r="228" spans="1:43" ht="15.75" customHeight="1">
      <c r="A228" s="441" t="s">
        <v>1895</v>
      </c>
      <c r="B228" s="14" t="s">
        <v>996</v>
      </c>
      <c r="C228" s="247"/>
      <c r="D228" s="232"/>
      <c r="E228" s="58"/>
      <c r="F228" s="32" t="s">
        <v>1089</v>
      </c>
      <c r="G228" s="32" t="s">
        <v>1896</v>
      </c>
      <c r="H228" s="95" t="s">
        <v>1897</v>
      </c>
      <c r="I228" s="43" t="s">
        <v>1898</v>
      </c>
      <c r="J228" s="22"/>
      <c r="K228" s="22"/>
      <c r="L228" s="22"/>
      <c r="M228" s="53" t="s">
        <v>3938</v>
      </c>
      <c r="N228" s="54" t="s">
        <v>3976</v>
      </c>
      <c r="O228" s="54"/>
      <c r="P228" s="290" t="s">
        <v>1891</v>
      </c>
      <c r="Q228" s="290" t="s">
        <v>1892</v>
      </c>
      <c r="R228" s="115" t="s">
        <v>382</v>
      </c>
      <c r="S228" s="32" t="s">
        <v>41</v>
      </c>
      <c r="T228" s="21" t="s">
        <v>1899</v>
      </c>
      <c r="U228" s="173" t="s">
        <v>1891</v>
      </c>
      <c r="V228" s="174" t="s">
        <v>1892</v>
      </c>
      <c r="W228" s="29"/>
      <c r="X228" s="29"/>
      <c r="Y228" s="30" t="s">
        <v>1893</v>
      </c>
      <c r="Z228" s="30"/>
      <c r="AA228" s="30"/>
      <c r="AB228" s="41"/>
      <c r="AC228" s="32" t="s">
        <v>1894</v>
      </c>
      <c r="AD228" s="32"/>
      <c r="AE228" s="32"/>
      <c r="AF228" s="32"/>
      <c r="AG228" s="32"/>
      <c r="AH228" s="32"/>
      <c r="AI228" s="32"/>
      <c r="AJ228" s="32"/>
      <c r="AK228" s="32"/>
      <c r="AL228" s="32"/>
      <c r="AM228" s="32"/>
      <c r="AN228" s="32"/>
      <c r="AO228" s="32"/>
      <c r="AP228" s="32"/>
      <c r="AQ228" s="32"/>
    </row>
    <row r="229" spans="1:43" ht="15.75" customHeight="1">
      <c r="A229" s="441" t="s">
        <v>1914</v>
      </c>
      <c r="B229" s="14" t="s">
        <v>429</v>
      </c>
      <c r="C229" s="247" t="s">
        <v>170</v>
      </c>
      <c r="D229" s="232"/>
      <c r="E229" s="58"/>
      <c r="F229" s="32" t="s">
        <v>1089</v>
      </c>
      <c r="G229" s="32"/>
      <c r="H229" s="48" t="s">
        <v>1915</v>
      </c>
      <c r="I229" s="43" t="s">
        <v>1916</v>
      </c>
      <c r="J229" s="22" t="s">
        <v>1917</v>
      </c>
      <c r="K229" s="22"/>
      <c r="L229" s="22"/>
      <c r="M229" s="95" t="s">
        <v>136</v>
      </c>
      <c r="N229" s="65" t="s">
        <v>1918</v>
      </c>
      <c r="O229" s="392"/>
      <c r="P229" s="124"/>
      <c r="Q229" s="56"/>
      <c r="R229" s="306" t="s">
        <v>634</v>
      </c>
      <c r="S229" s="32" t="s">
        <v>41</v>
      </c>
      <c r="T229" s="104"/>
      <c r="U229" s="105"/>
      <c r="V229" s="105"/>
      <c r="W229" s="29"/>
      <c r="X229" s="29"/>
      <c r="Y229" s="30"/>
      <c r="Z229" s="30"/>
      <c r="AA229" s="30"/>
      <c r="AB229" s="46" t="s">
        <v>1919</v>
      </c>
      <c r="AC229" s="32"/>
      <c r="AD229" s="21"/>
      <c r="AE229" s="32"/>
      <c r="AF229" s="32"/>
      <c r="AG229" s="32"/>
      <c r="AH229" s="32"/>
      <c r="AI229" s="32"/>
      <c r="AJ229" s="32"/>
      <c r="AK229" s="32"/>
      <c r="AL229" s="32"/>
      <c r="AM229" s="32"/>
      <c r="AN229" s="32"/>
      <c r="AO229" s="32"/>
      <c r="AP229" s="32"/>
      <c r="AQ229" s="32"/>
    </row>
    <row r="230" spans="1:43" ht="15.75" customHeight="1">
      <c r="A230" s="441" t="s">
        <v>1920</v>
      </c>
      <c r="B230" s="14" t="s">
        <v>429</v>
      </c>
      <c r="C230" s="246" t="s">
        <v>1921</v>
      </c>
      <c r="D230" s="242"/>
      <c r="E230" s="52"/>
      <c r="F230" s="32" t="s">
        <v>1089</v>
      </c>
      <c r="G230" s="48" t="s">
        <v>1922</v>
      </c>
      <c r="H230" s="95" t="s">
        <v>1923</v>
      </c>
      <c r="I230" s="43" t="s">
        <v>1924</v>
      </c>
      <c r="J230" s="22"/>
      <c r="K230" s="22"/>
      <c r="L230" s="22"/>
      <c r="M230" s="32" t="s">
        <v>1925</v>
      </c>
      <c r="N230" s="54" t="s">
        <v>1926</v>
      </c>
      <c r="O230" s="54"/>
      <c r="P230" s="74" t="s">
        <v>1908</v>
      </c>
      <c r="Q230" s="56" t="s">
        <v>1909</v>
      </c>
      <c r="R230" s="132" t="s">
        <v>554</v>
      </c>
      <c r="S230" s="32" t="s">
        <v>714</v>
      </c>
      <c r="T230" s="88"/>
      <c r="U230" s="45" t="s">
        <v>1927</v>
      </c>
      <c r="V230" s="45" t="s">
        <v>1928</v>
      </c>
      <c r="W230" s="29" t="s">
        <v>715</v>
      </c>
      <c r="X230" s="29" t="s">
        <v>716</v>
      </c>
      <c r="Y230" s="30" t="s">
        <v>1929</v>
      </c>
      <c r="Z230" s="30"/>
      <c r="AA230" s="30"/>
      <c r="AB230" s="31"/>
      <c r="AC230" s="32"/>
      <c r="AD230" s="21"/>
      <c r="AE230" s="32"/>
      <c r="AF230" s="32"/>
      <c r="AG230" s="32"/>
      <c r="AH230" s="32"/>
      <c r="AI230" s="32"/>
      <c r="AJ230" s="32"/>
      <c r="AK230" s="32"/>
      <c r="AL230" s="32"/>
      <c r="AM230" s="32"/>
      <c r="AN230" s="32"/>
      <c r="AO230" s="32"/>
      <c r="AP230" s="32"/>
      <c r="AQ230" s="32"/>
    </row>
    <row r="231" spans="1:43" ht="15.75" customHeight="1">
      <c r="A231" s="441" t="s">
        <v>1930</v>
      </c>
      <c r="B231" s="14" t="s">
        <v>429</v>
      </c>
      <c r="C231" s="247" t="s">
        <v>170</v>
      </c>
      <c r="D231" s="232"/>
      <c r="E231" s="58"/>
      <c r="F231" s="47" t="s">
        <v>1931</v>
      </c>
      <c r="G231" s="32"/>
      <c r="H231" s="48" t="s">
        <v>1932</v>
      </c>
      <c r="I231" s="43" t="s">
        <v>1933</v>
      </c>
      <c r="J231" s="22"/>
      <c r="K231" s="22"/>
      <c r="L231" s="22" t="s">
        <v>1934</v>
      </c>
      <c r="M231" s="95" t="s">
        <v>1813</v>
      </c>
      <c r="N231" s="54" t="s">
        <v>1935</v>
      </c>
      <c r="O231" s="394"/>
      <c r="P231" s="112"/>
      <c r="Q231" s="56"/>
      <c r="R231" s="115" t="s">
        <v>382</v>
      </c>
      <c r="S231" s="32" t="s">
        <v>41</v>
      </c>
      <c r="T231" s="21" t="s">
        <v>1936</v>
      </c>
      <c r="U231" s="28"/>
      <c r="V231" s="28"/>
      <c r="W231" s="29"/>
      <c r="X231" s="29"/>
      <c r="Y231" s="30"/>
      <c r="Z231" s="30"/>
      <c r="AA231" s="30"/>
      <c r="AB231" s="41"/>
      <c r="AC231" s="32"/>
      <c r="AD231" s="21"/>
      <c r="AE231" s="32"/>
      <c r="AF231" s="32"/>
      <c r="AG231" s="32"/>
      <c r="AH231" s="32"/>
      <c r="AI231" s="32"/>
      <c r="AJ231" s="32"/>
      <c r="AK231" s="32"/>
      <c r="AL231" s="32"/>
      <c r="AM231" s="32"/>
      <c r="AN231" s="32"/>
      <c r="AO231" s="32"/>
      <c r="AP231" s="32"/>
      <c r="AQ231" s="32"/>
    </row>
    <row r="232" spans="1:43" ht="15.75" customHeight="1">
      <c r="A232" s="441" t="s">
        <v>1937</v>
      </c>
      <c r="B232" s="14" t="s">
        <v>429</v>
      </c>
      <c r="C232" s="248" t="s">
        <v>142</v>
      </c>
      <c r="D232" s="232"/>
      <c r="E232" s="58"/>
      <c r="F232" s="47" t="s">
        <v>1938</v>
      </c>
      <c r="G232" s="32"/>
      <c r="H232" s="95" t="s">
        <v>1939</v>
      </c>
      <c r="I232" s="43" t="s">
        <v>1940</v>
      </c>
      <c r="J232" s="82"/>
      <c r="K232" s="82"/>
      <c r="L232" s="22" t="s">
        <v>1941</v>
      </c>
      <c r="M232" s="36" t="s">
        <v>1942</v>
      </c>
      <c r="N232" s="54" t="s">
        <v>1943</v>
      </c>
      <c r="O232" s="54" t="s">
        <v>1908</v>
      </c>
      <c r="P232" s="74"/>
      <c r="Q232" s="56" t="s">
        <v>1944</v>
      </c>
      <c r="R232" s="101" t="s">
        <v>40</v>
      </c>
      <c r="S232" s="48" t="s">
        <v>41</v>
      </c>
      <c r="T232" s="21" t="s">
        <v>1945</v>
      </c>
      <c r="U232" s="28"/>
      <c r="V232" s="28"/>
      <c r="W232" s="29"/>
      <c r="X232" s="29"/>
      <c r="Y232" s="30"/>
      <c r="Z232" s="30"/>
      <c r="AA232" s="30"/>
      <c r="AB232" s="46" t="s">
        <v>1946</v>
      </c>
      <c r="AC232" s="32"/>
      <c r="AD232" s="32"/>
      <c r="AE232" s="32"/>
      <c r="AF232" s="32"/>
      <c r="AG232" s="32"/>
      <c r="AH232" s="32"/>
      <c r="AI232" s="32"/>
      <c r="AJ232" s="32"/>
      <c r="AK232" s="32"/>
      <c r="AL232" s="32"/>
      <c r="AM232" s="32"/>
      <c r="AN232" s="32"/>
      <c r="AO232" s="32"/>
      <c r="AP232" s="32"/>
      <c r="AQ232" s="32"/>
    </row>
    <row r="233" spans="1:43" ht="15.75" customHeight="1">
      <c r="A233" s="441" t="s">
        <v>1947</v>
      </c>
      <c r="B233" s="14" t="s">
        <v>429</v>
      </c>
      <c r="C233" s="247" t="s">
        <v>170</v>
      </c>
      <c r="D233" s="232"/>
      <c r="E233" s="58"/>
      <c r="F233" s="265" t="s">
        <v>1948</v>
      </c>
      <c r="G233" s="32"/>
      <c r="H233" s="32" t="s">
        <v>1949</v>
      </c>
      <c r="I233" s="43" t="s">
        <v>1950</v>
      </c>
      <c r="J233" s="98"/>
      <c r="K233" s="82"/>
      <c r="L233" s="82" t="s">
        <v>1951</v>
      </c>
      <c r="M233" s="43" t="s">
        <v>1435</v>
      </c>
      <c r="N233" s="38" t="s">
        <v>1952</v>
      </c>
      <c r="O233" s="294"/>
      <c r="P233" s="124"/>
      <c r="Q233" s="26"/>
      <c r="R233" s="115" t="s">
        <v>382</v>
      </c>
      <c r="S233" s="32" t="s">
        <v>41</v>
      </c>
      <c r="T233" s="21"/>
      <c r="U233" s="28"/>
      <c r="V233" s="28"/>
      <c r="W233" s="29"/>
      <c r="X233" s="29"/>
      <c r="Y233" s="30"/>
      <c r="Z233" s="30"/>
      <c r="AA233" s="30"/>
      <c r="AB233" s="41"/>
      <c r="AC233" s="32"/>
      <c r="AD233" s="32"/>
      <c r="AE233" s="32"/>
      <c r="AF233" s="32"/>
      <c r="AG233" s="32"/>
      <c r="AH233" s="32"/>
      <c r="AI233" s="32"/>
      <c r="AJ233" s="32"/>
      <c r="AK233" s="32"/>
      <c r="AL233" s="32"/>
      <c r="AM233" s="32"/>
      <c r="AN233" s="32"/>
      <c r="AO233" s="32"/>
      <c r="AP233" s="32"/>
      <c r="AQ233" s="32"/>
    </row>
    <row r="234" spans="1:43" ht="15.75" customHeight="1">
      <c r="A234" s="441" t="s">
        <v>3841</v>
      </c>
      <c r="B234" s="14" t="s">
        <v>429</v>
      </c>
      <c r="C234" s="258" t="s">
        <v>3768</v>
      </c>
      <c r="D234" s="232"/>
      <c r="E234" s="58"/>
      <c r="F234" s="371" t="s">
        <v>1953</v>
      </c>
      <c r="G234" s="32"/>
      <c r="H234" s="48" t="s">
        <v>1954</v>
      </c>
      <c r="I234" s="43" t="s">
        <v>757</v>
      </c>
      <c r="J234" s="35"/>
      <c r="K234" s="82"/>
      <c r="L234" s="82" t="s">
        <v>1955</v>
      </c>
      <c r="M234" s="154" t="s">
        <v>1956</v>
      </c>
      <c r="N234" s="38" t="s">
        <v>1957</v>
      </c>
      <c r="O234" s="54" t="s">
        <v>1908</v>
      </c>
      <c r="P234" s="74"/>
      <c r="Q234" s="26" t="s">
        <v>1944</v>
      </c>
      <c r="R234" s="32" t="s">
        <v>370</v>
      </c>
      <c r="S234" s="32" t="s">
        <v>41</v>
      </c>
      <c r="T234" s="21"/>
      <c r="U234" s="28"/>
      <c r="V234" s="28"/>
      <c r="W234" s="29"/>
      <c r="X234" s="29"/>
      <c r="Y234" s="30"/>
      <c r="Z234" s="30"/>
      <c r="AA234" s="30"/>
      <c r="AB234" s="41"/>
      <c r="AC234" s="32"/>
      <c r="AD234" s="39"/>
      <c r="AE234" s="32"/>
      <c r="AF234" s="32"/>
      <c r="AG234" s="32"/>
      <c r="AH234" s="32"/>
      <c r="AI234" s="32"/>
      <c r="AJ234" s="32"/>
      <c r="AK234" s="32"/>
      <c r="AL234" s="32"/>
      <c r="AM234" s="32"/>
      <c r="AN234" s="32"/>
      <c r="AO234" s="32"/>
      <c r="AP234" s="32"/>
      <c r="AQ234" s="32"/>
    </row>
    <row r="235" spans="1:43" ht="15.75" customHeight="1">
      <c r="A235" s="441" t="s">
        <v>1958</v>
      </c>
      <c r="B235" s="357" t="s">
        <v>996</v>
      </c>
      <c r="C235" s="247" t="s">
        <v>170</v>
      </c>
      <c r="D235" s="232"/>
      <c r="E235" s="58"/>
      <c r="F235" s="32" t="s">
        <v>1089</v>
      </c>
      <c r="G235" s="32" t="s">
        <v>1959</v>
      </c>
      <c r="H235" s="48" t="s">
        <v>1960</v>
      </c>
      <c r="I235" s="43" t="s">
        <v>1961</v>
      </c>
      <c r="J235" s="107" t="s">
        <v>1634</v>
      </c>
      <c r="K235" s="35"/>
      <c r="L235" s="35"/>
      <c r="M235" s="53" t="s">
        <v>1339</v>
      </c>
      <c r="N235" s="54" t="s">
        <v>1764</v>
      </c>
      <c r="O235" s="54"/>
      <c r="P235" s="55"/>
      <c r="Q235" s="56"/>
      <c r="R235" s="148" t="s">
        <v>1256</v>
      </c>
      <c r="S235" s="32" t="s">
        <v>41</v>
      </c>
      <c r="T235" s="21" t="s">
        <v>1962</v>
      </c>
      <c r="U235" s="28" t="s">
        <v>1054</v>
      </c>
      <c r="V235" s="143" t="s">
        <v>1963</v>
      </c>
      <c r="W235" s="72" t="s">
        <v>1054</v>
      </c>
      <c r="X235" s="139" t="s">
        <v>1964</v>
      </c>
      <c r="Y235" s="30" t="s">
        <v>1965</v>
      </c>
      <c r="Z235" s="30"/>
      <c r="AA235" s="30"/>
      <c r="AB235" s="31" t="s">
        <v>1056</v>
      </c>
      <c r="AC235" s="21" t="s">
        <v>1209</v>
      </c>
      <c r="AD235" s="99"/>
      <c r="AE235" s="32"/>
      <c r="AF235" s="32"/>
      <c r="AG235" s="32"/>
      <c r="AH235" s="32"/>
      <c r="AI235" s="32"/>
      <c r="AJ235" s="32"/>
      <c r="AK235" s="32"/>
      <c r="AL235" s="32"/>
      <c r="AM235" s="32"/>
      <c r="AN235" s="32"/>
      <c r="AO235" s="32"/>
      <c r="AP235" s="32"/>
      <c r="AQ235" s="32"/>
    </row>
    <row r="236" spans="1:43" ht="15.75" customHeight="1">
      <c r="A236" s="441" t="s">
        <v>1966</v>
      </c>
      <c r="B236" s="14" t="s">
        <v>1967</v>
      </c>
      <c r="C236" s="253" t="s">
        <v>1968</v>
      </c>
      <c r="D236" s="232"/>
      <c r="E236" s="58"/>
      <c r="F236" s="47" t="s">
        <v>1969</v>
      </c>
      <c r="G236" s="32" t="s">
        <v>1970</v>
      </c>
      <c r="H236" s="33" t="s">
        <v>1971</v>
      </c>
      <c r="I236" s="43" t="s">
        <v>1972</v>
      </c>
      <c r="J236" s="22"/>
      <c r="K236" s="22"/>
      <c r="L236" s="22"/>
      <c r="M236" s="43" t="s">
        <v>1973</v>
      </c>
      <c r="N236" s="65" t="s">
        <v>1974</v>
      </c>
      <c r="O236" s="65"/>
      <c r="P236" s="25"/>
      <c r="Q236" s="26"/>
      <c r="R236" s="99" t="s">
        <v>1095</v>
      </c>
      <c r="S236" s="32" t="s">
        <v>41</v>
      </c>
      <c r="T236" s="21"/>
      <c r="U236" s="28"/>
      <c r="V236" s="28"/>
      <c r="W236" s="415" t="s">
        <v>1910</v>
      </c>
      <c r="X236" s="118" t="s">
        <v>1911</v>
      </c>
      <c r="Y236" s="30" t="s">
        <v>1975</v>
      </c>
      <c r="Z236" s="30"/>
      <c r="AA236" s="30"/>
      <c r="AB236" s="41"/>
      <c r="AC236" s="32" t="s">
        <v>1976</v>
      </c>
      <c r="AD236" s="32"/>
      <c r="AE236" s="32"/>
      <c r="AF236" s="32"/>
      <c r="AG236" s="32"/>
      <c r="AH236" s="32"/>
      <c r="AI236" s="32"/>
      <c r="AJ236" s="32"/>
      <c r="AK236" s="32"/>
      <c r="AL236" s="32"/>
      <c r="AM236" s="32"/>
      <c r="AN236" s="32"/>
      <c r="AO236" s="32"/>
      <c r="AP236" s="32"/>
      <c r="AQ236" s="32"/>
    </row>
    <row r="237" spans="1:43" ht="15.75" customHeight="1">
      <c r="A237" s="441" t="s">
        <v>1977</v>
      </c>
      <c r="B237" s="14" t="s">
        <v>429</v>
      </c>
      <c r="C237" s="247" t="s">
        <v>170</v>
      </c>
      <c r="D237" s="232"/>
      <c r="E237" s="58"/>
      <c r="F237" s="47" t="s">
        <v>1978</v>
      </c>
      <c r="G237" s="32"/>
      <c r="H237" s="32" t="s">
        <v>1979</v>
      </c>
      <c r="I237" s="43" t="s">
        <v>1980</v>
      </c>
      <c r="J237" s="22"/>
      <c r="K237" s="22"/>
      <c r="L237" s="22"/>
      <c r="M237" s="135" t="s">
        <v>649</v>
      </c>
      <c r="N237" s="89" t="s">
        <v>1981</v>
      </c>
      <c r="O237" s="89" t="s">
        <v>1118</v>
      </c>
      <c r="P237" s="90"/>
      <c r="Q237" s="91" t="s">
        <v>1982</v>
      </c>
      <c r="R237" s="32" t="s">
        <v>517</v>
      </c>
      <c r="S237" s="32" t="s">
        <v>41</v>
      </c>
      <c r="T237" s="21" t="s">
        <v>1983</v>
      </c>
      <c r="U237" s="28"/>
      <c r="V237" s="28"/>
      <c r="W237" s="110" t="s">
        <v>1984</v>
      </c>
      <c r="X237" s="86" t="s">
        <v>1985</v>
      </c>
      <c r="Y237" s="30" t="s">
        <v>1986</v>
      </c>
      <c r="Z237" s="30" t="s">
        <v>1987</v>
      </c>
      <c r="AA237" s="30" t="s">
        <v>1988</v>
      </c>
      <c r="AB237" s="41"/>
      <c r="AC237" s="32" t="s">
        <v>1989</v>
      </c>
      <c r="AD237" s="21"/>
      <c r="AE237" s="32"/>
      <c r="AF237" s="32"/>
      <c r="AG237" s="32"/>
      <c r="AH237" s="32"/>
      <c r="AI237" s="32"/>
      <c r="AJ237" s="32"/>
      <c r="AK237" s="32"/>
      <c r="AL237" s="32"/>
      <c r="AM237" s="32"/>
      <c r="AN237" s="32"/>
      <c r="AO237" s="32"/>
      <c r="AP237" s="32"/>
      <c r="AQ237" s="32"/>
    </row>
    <row r="238" spans="1:43" ht="15.75" customHeight="1">
      <c r="A238" s="441" t="s">
        <v>1990</v>
      </c>
      <c r="B238" s="14" t="s">
        <v>429</v>
      </c>
      <c r="C238" s="248" t="s">
        <v>142</v>
      </c>
      <c r="D238" s="232"/>
      <c r="E238" s="58"/>
      <c r="F238" s="47" t="s">
        <v>1991</v>
      </c>
      <c r="G238" s="32"/>
      <c r="H238" s="32" t="s">
        <v>1992</v>
      </c>
      <c r="I238" s="43" t="s">
        <v>1993</v>
      </c>
      <c r="J238" s="22"/>
      <c r="K238" s="22"/>
      <c r="L238" s="22" t="s">
        <v>1994</v>
      </c>
      <c r="M238" s="95" t="s">
        <v>3934</v>
      </c>
      <c r="N238" s="38" t="s">
        <v>1644</v>
      </c>
      <c r="O238" s="38"/>
      <c r="P238" s="25" t="s">
        <v>1891</v>
      </c>
      <c r="Q238" s="26" t="s">
        <v>1892</v>
      </c>
      <c r="R238" s="115" t="s">
        <v>382</v>
      </c>
      <c r="S238" s="32" t="s">
        <v>383</v>
      </c>
      <c r="T238" s="88" t="s">
        <v>1995</v>
      </c>
      <c r="U238" s="45" t="s">
        <v>1996</v>
      </c>
      <c r="V238" s="45" t="s">
        <v>1997</v>
      </c>
      <c r="W238" s="29" t="s">
        <v>1910</v>
      </c>
      <c r="X238" s="29" t="s">
        <v>1985</v>
      </c>
      <c r="Y238" s="30" t="s">
        <v>1998</v>
      </c>
      <c r="Z238" s="30"/>
      <c r="AA238" s="30"/>
      <c r="AB238" s="41"/>
      <c r="AC238" s="32" t="s">
        <v>1999</v>
      </c>
      <c r="AD238" s="21"/>
      <c r="AE238" s="32"/>
      <c r="AF238" s="32"/>
      <c r="AG238" s="32"/>
      <c r="AH238" s="32"/>
      <c r="AI238" s="32"/>
      <c r="AJ238" s="32"/>
      <c r="AK238" s="32"/>
      <c r="AL238" s="32"/>
      <c r="AM238" s="32"/>
      <c r="AN238" s="32"/>
      <c r="AO238" s="32"/>
      <c r="AP238" s="32"/>
      <c r="AQ238" s="32"/>
    </row>
    <row r="239" spans="1:43" ht="15.75" customHeight="1">
      <c r="A239" s="441" t="s">
        <v>2000</v>
      </c>
      <c r="B239" s="14" t="s">
        <v>429</v>
      </c>
      <c r="C239" s="247" t="s">
        <v>170</v>
      </c>
      <c r="D239" s="232"/>
      <c r="E239" s="58"/>
      <c r="F239" s="47" t="s">
        <v>2001</v>
      </c>
      <c r="G239" s="32" t="s">
        <v>2002</v>
      </c>
      <c r="H239" s="33" t="s">
        <v>2003</v>
      </c>
      <c r="I239" s="43" t="s">
        <v>2004</v>
      </c>
      <c r="J239" s="82"/>
      <c r="K239" s="82"/>
      <c r="L239" s="22" t="s">
        <v>2005</v>
      </c>
      <c r="M239" s="125" t="s">
        <v>3933</v>
      </c>
      <c r="N239" s="54" t="s">
        <v>3977</v>
      </c>
      <c r="O239" s="54"/>
      <c r="P239" s="25" t="s">
        <v>1891</v>
      </c>
      <c r="Q239" s="26" t="s">
        <v>1892</v>
      </c>
      <c r="R239" s="115" t="s">
        <v>382</v>
      </c>
      <c r="S239" s="32" t="s">
        <v>41</v>
      </c>
      <c r="T239" s="21"/>
      <c r="U239" s="28" t="s">
        <v>1891</v>
      </c>
      <c r="V239" s="28" t="s">
        <v>1892</v>
      </c>
      <c r="W239" s="29"/>
      <c r="X239" s="29"/>
      <c r="Y239" s="30" t="s">
        <v>2006</v>
      </c>
      <c r="Z239" s="30"/>
      <c r="AA239" s="30"/>
      <c r="AB239" s="41"/>
      <c r="AC239" s="32" t="s">
        <v>571</v>
      </c>
      <c r="AD239" s="21"/>
      <c r="AE239" s="32"/>
      <c r="AF239" s="32"/>
      <c r="AG239" s="32"/>
      <c r="AH239" s="32"/>
      <c r="AI239" s="32"/>
      <c r="AJ239" s="32"/>
      <c r="AK239" s="32"/>
      <c r="AL239" s="32"/>
      <c r="AM239" s="32"/>
      <c r="AN239" s="32"/>
      <c r="AO239" s="32"/>
      <c r="AP239" s="32"/>
      <c r="AQ239" s="32"/>
    </row>
    <row r="240" spans="1:43" ht="15.75" customHeight="1">
      <c r="A240" s="441" t="s">
        <v>3840</v>
      </c>
      <c r="B240" s="14" t="s">
        <v>429</v>
      </c>
      <c r="C240" s="246" t="s">
        <v>2007</v>
      </c>
      <c r="D240" s="232"/>
      <c r="E240" s="58"/>
      <c r="F240" s="16" t="s">
        <v>2008</v>
      </c>
      <c r="G240" s="32"/>
      <c r="H240" s="32" t="s">
        <v>2009</v>
      </c>
      <c r="I240" s="43" t="s">
        <v>2010</v>
      </c>
      <c r="J240" s="35"/>
      <c r="K240" s="22"/>
      <c r="L240" s="22" t="s">
        <v>852</v>
      </c>
      <c r="M240" s="53" t="s">
        <v>2011</v>
      </c>
      <c r="N240" s="54" t="s">
        <v>2012</v>
      </c>
      <c r="O240" s="54"/>
      <c r="P240" s="55"/>
      <c r="Q240" s="56"/>
      <c r="R240" s="32" t="s">
        <v>370</v>
      </c>
      <c r="S240" s="32" t="s">
        <v>41</v>
      </c>
      <c r="T240" s="84"/>
      <c r="U240" s="85" t="s">
        <v>187</v>
      </c>
      <c r="V240" s="28" t="s">
        <v>188</v>
      </c>
      <c r="W240" s="86" t="s">
        <v>1910</v>
      </c>
      <c r="X240" s="160" t="s">
        <v>1985</v>
      </c>
      <c r="Y240" s="30" t="s">
        <v>2013</v>
      </c>
      <c r="Z240" s="30"/>
      <c r="AA240" s="30"/>
      <c r="AB240" s="46" t="s">
        <v>2014</v>
      </c>
      <c r="AC240" s="32"/>
      <c r="AD240" s="21"/>
      <c r="AE240" s="32"/>
      <c r="AF240" s="32"/>
      <c r="AG240" s="32"/>
      <c r="AH240" s="32"/>
      <c r="AI240" s="32"/>
      <c r="AJ240" s="32"/>
      <c r="AK240" s="32"/>
      <c r="AL240" s="32"/>
      <c r="AM240" s="32"/>
      <c r="AN240" s="32"/>
      <c r="AO240" s="32"/>
      <c r="AP240" s="32"/>
      <c r="AQ240" s="32"/>
    </row>
    <row r="241" spans="1:43" ht="15.75" customHeight="1">
      <c r="A241" s="441" t="s">
        <v>2015</v>
      </c>
      <c r="B241" s="14" t="s">
        <v>996</v>
      </c>
      <c r="C241" s="247" t="s">
        <v>170</v>
      </c>
      <c r="D241" s="232"/>
      <c r="E241" s="58"/>
      <c r="F241" s="32" t="s">
        <v>1089</v>
      </c>
      <c r="G241" s="32" t="s">
        <v>2016</v>
      </c>
      <c r="H241" s="48" t="s">
        <v>2017</v>
      </c>
      <c r="I241" s="43" t="s">
        <v>2018</v>
      </c>
      <c r="J241" s="22"/>
      <c r="K241" s="82"/>
      <c r="L241" s="82"/>
      <c r="M241" s="53" t="s">
        <v>3938</v>
      </c>
      <c r="N241" s="54" t="s">
        <v>2019</v>
      </c>
      <c r="O241" s="54"/>
      <c r="P241" s="290" t="s">
        <v>1891</v>
      </c>
      <c r="Q241" s="290" t="s">
        <v>1892</v>
      </c>
      <c r="R241" s="115" t="s">
        <v>382</v>
      </c>
      <c r="S241" s="32" t="s">
        <v>41</v>
      </c>
      <c r="T241" s="21" t="s">
        <v>2020</v>
      </c>
      <c r="U241" s="28" t="s">
        <v>1891</v>
      </c>
      <c r="V241" s="105" t="s">
        <v>1892</v>
      </c>
      <c r="W241" s="29"/>
      <c r="X241" s="29"/>
      <c r="Y241" s="30" t="s">
        <v>2021</v>
      </c>
      <c r="Z241" s="30"/>
      <c r="AA241" s="30"/>
      <c r="AB241" s="41"/>
      <c r="AC241" s="32" t="s">
        <v>1894</v>
      </c>
      <c r="AD241" s="32"/>
      <c r="AE241" s="32"/>
      <c r="AF241" s="32"/>
      <c r="AG241" s="32"/>
      <c r="AH241" s="32"/>
      <c r="AI241" s="32"/>
      <c r="AJ241" s="32"/>
      <c r="AK241" s="32"/>
      <c r="AL241" s="32"/>
      <c r="AM241" s="32"/>
      <c r="AN241" s="32"/>
      <c r="AO241" s="32"/>
      <c r="AP241" s="32"/>
      <c r="AQ241" s="32"/>
    </row>
    <row r="242" spans="1:43" ht="15.75" customHeight="1">
      <c r="A242" s="441" t="s">
        <v>2022</v>
      </c>
      <c r="B242" s="14" t="s">
        <v>996</v>
      </c>
      <c r="C242" s="247" t="s">
        <v>170</v>
      </c>
      <c r="D242" s="232"/>
      <c r="E242" s="58"/>
      <c r="F242" s="32" t="s">
        <v>1089</v>
      </c>
      <c r="G242" s="32" t="s">
        <v>2023</v>
      </c>
      <c r="H242" s="48" t="s">
        <v>3942</v>
      </c>
      <c r="I242" s="43" t="s">
        <v>2024</v>
      </c>
      <c r="J242" s="22"/>
      <c r="K242" s="22"/>
      <c r="L242" s="22"/>
      <c r="M242" s="53" t="s">
        <v>3938</v>
      </c>
      <c r="N242" s="54" t="s">
        <v>2025</v>
      </c>
      <c r="O242" s="394"/>
      <c r="P242" s="290" t="s">
        <v>1891</v>
      </c>
      <c r="Q242" s="290" t="s">
        <v>1892</v>
      </c>
      <c r="R242" s="115" t="s">
        <v>382</v>
      </c>
      <c r="S242" s="32" t="s">
        <v>41</v>
      </c>
      <c r="T242" s="21" t="s">
        <v>2026</v>
      </c>
      <c r="U242" s="28" t="s">
        <v>2027</v>
      </c>
      <c r="V242" s="28" t="s">
        <v>2028</v>
      </c>
      <c r="W242" s="29"/>
      <c r="X242" s="29"/>
      <c r="Y242" s="30" t="s">
        <v>2029</v>
      </c>
      <c r="Z242" s="30"/>
      <c r="AA242" s="30"/>
      <c r="AB242" s="41"/>
      <c r="AC242" s="32"/>
      <c r="AD242" s="32"/>
      <c r="AE242" s="32"/>
      <c r="AF242" s="32"/>
      <c r="AG242" s="32"/>
      <c r="AH242" s="32"/>
      <c r="AI242" s="32"/>
      <c r="AJ242" s="32"/>
      <c r="AK242" s="32"/>
      <c r="AL242" s="32"/>
      <c r="AM242" s="32"/>
      <c r="AN242" s="32"/>
      <c r="AO242" s="32"/>
      <c r="AP242" s="32"/>
      <c r="AQ242" s="32"/>
    </row>
    <row r="243" spans="1:43" ht="15.75" customHeight="1">
      <c r="A243" s="441" t="s">
        <v>2030</v>
      </c>
      <c r="B243" s="14" t="s">
        <v>429</v>
      </c>
      <c r="C243" s="246" t="s">
        <v>2031</v>
      </c>
      <c r="D243" s="232"/>
      <c r="E243" s="58"/>
      <c r="F243" s="16" t="s">
        <v>2032</v>
      </c>
      <c r="G243" s="32"/>
      <c r="H243" s="95" t="s">
        <v>2033</v>
      </c>
      <c r="I243" s="43" t="s">
        <v>2034</v>
      </c>
      <c r="J243" s="82"/>
      <c r="K243" s="82"/>
      <c r="L243" s="22" t="s">
        <v>852</v>
      </c>
      <c r="M243" s="53" t="s">
        <v>2035</v>
      </c>
      <c r="N243" s="38" t="s">
        <v>2036</v>
      </c>
      <c r="O243" s="294"/>
      <c r="P243" s="59" t="s">
        <v>106</v>
      </c>
      <c r="Q243" s="26" t="s">
        <v>107</v>
      </c>
      <c r="R243" s="32" t="s">
        <v>370</v>
      </c>
      <c r="S243" s="32" t="s">
        <v>41</v>
      </c>
      <c r="T243" s="84"/>
      <c r="U243" s="85" t="s">
        <v>187</v>
      </c>
      <c r="V243" s="140" t="s">
        <v>188</v>
      </c>
      <c r="W243" s="86" t="s">
        <v>1910</v>
      </c>
      <c r="X243" s="86" t="s">
        <v>1985</v>
      </c>
      <c r="Y243" s="30" t="s">
        <v>2037</v>
      </c>
      <c r="Z243" s="30"/>
      <c r="AA243" s="30"/>
      <c r="AB243" s="46" t="s">
        <v>2038</v>
      </c>
      <c r="AC243" s="32"/>
      <c r="AD243" s="32"/>
      <c r="AE243" s="32"/>
      <c r="AF243" s="32"/>
      <c r="AG243" s="32"/>
      <c r="AH243" s="32"/>
      <c r="AI243" s="32"/>
      <c r="AJ243" s="32"/>
      <c r="AK243" s="32"/>
      <c r="AL243" s="32"/>
      <c r="AM243" s="32"/>
      <c r="AN243" s="32"/>
      <c r="AO243" s="32"/>
      <c r="AP243" s="32"/>
      <c r="AQ243" s="32"/>
    </row>
    <row r="244" spans="1:43" ht="15.75" customHeight="1">
      <c r="A244" s="441" t="s">
        <v>2039</v>
      </c>
      <c r="B244" s="14" t="s">
        <v>429</v>
      </c>
      <c r="C244" s="246" t="s">
        <v>2040</v>
      </c>
      <c r="D244" s="232"/>
      <c r="E244" s="58"/>
      <c r="F244" s="16" t="s">
        <v>2041</v>
      </c>
      <c r="G244" s="32" t="s">
        <v>2042</v>
      </c>
      <c r="H244" s="48" t="s">
        <v>2043</v>
      </c>
      <c r="I244" s="43" t="s">
        <v>2044</v>
      </c>
      <c r="J244" s="35"/>
      <c r="K244" s="22"/>
      <c r="L244" s="22" t="s">
        <v>2045</v>
      </c>
      <c r="M244" s="36" t="s">
        <v>2046</v>
      </c>
      <c r="N244" s="54" t="s">
        <v>2047</v>
      </c>
      <c r="O244" s="54"/>
      <c r="P244" s="74" t="s">
        <v>2048</v>
      </c>
      <c r="Q244" s="56" t="s">
        <v>2049</v>
      </c>
      <c r="R244" s="101" t="s">
        <v>40</v>
      </c>
      <c r="S244" s="32" t="s">
        <v>41</v>
      </c>
      <c r="T244" s="21"/>
      <c r="U244" s="28"/>
      <c r="V244" s="28"/>
      <c r="W244" s="86" t="s">
        <v>1910</v>
      </c>
      <c r="X244" s="86" t="s">
        <v>2050</v>
      </c>
      <c r="Y244" s="30" t="s">
        <v>2051</v>
      </c>
      <c r="Z244" s="30"/>
      <c r="AA244" s="30"/>
      <c r="AB244" s="46" t="s">
        <v>2052</v>
      </c>
      <c r="AC244" s="32"/>
      <c r="AD244" s="32"/>
      <c r="AE244" s="32"/>
      <c r="AF244" s="32"/>
      <c r="AG244" s="32"/>
      <c r="AH244" s="32"/>
      <c r="AI244" s="32"/>
      <c r="AJ244" s="32"/>
      <c r="AK244" s="32"/>
      <c r="AL244" s="32"/>
      <c r="AM244" s="32"/>
      <c r="AN244" s="32"/>
      <c r="AO244" s="32"/>
      <c r="AP244" s="32"/>
      <c r="AQ244" s="32"/>
    </row>
    <row r="245" spans="1:43" ht="15.75" customHeight="1">
      <c r="A245" s="441" t="s">
        <v>2053</v>
      </c>
      <c r="B245" s="14" t="s">
        <v>429</v>
      </c>
      <c r="C245" s="248" t="s">
        <v>142</v>
      </c>
      <c r="D245" s="232"/>
      <c r="E245" s="58"/>
      <c r="F245" s="47" t="s">
        <v>2054</v>
      </c>
      <c r="G245" s="32"/>
      <c r="H245" s="48" t="s">
        <v>2055</v>
      </c>
      <c r="I245" s="43" t="s">
        <v>2056</v>
      </c>
      <c r="J245" s="82"/>
      <c r="K245" s="82"/>
      <c r="L245" s="22"/>
      <c r="M245" s="303" t="s">
        <v>649</v>
      </c>
      <c r="N245" s="176" t="s">
        <v>2057</v>
      </c>
      <c r="O245" s="176" t="s">
        <v>2058</v>
      </c>
      <c r="P245" s="177"/>
      <c r="Q245" s="178" t="s">
        <v>2059</v>
      </c>
      <c r="R245" s="32" t="s">
        <v>517</v>
      </c>
      <c r="S245" s="32" t="s">
        <v>41</v>
      </c>
      <c r="T245" s="21"/>
      <c r="U245" s="28"/>
      <c r="V245" s="28"/>
      <c r="W245" s="29"/>
      <c r="X245" s="29"/>
      <c r="Y245" s="30" t="s">
        <v>83</v>
      </c>
      <c r="Z245" s="30" t="s">
        <v>2060</v>
      </c>
      <c r="AA245" s="30" t="s">
        <v>2061</v>
      </c>
      <c r="AB245" s="41"/>
      <c r="AC245" s="32"/>
      <c r="AD245" s="32"/>
      <c r="AE245" s="32"/>
      <c r="AF245" s="32"/>
      <c r="AG245" s="32"/>
      <c r="AH245" s="32"/>
      <c r="AI245" s="32"/>
      <c r="AJ245" s="32"/>
      <c r="AK245" s="32"/>
      <c r="AL245" s="32"/>
      <c r="AM245" s="32"/>
      <c r="AN245" s="32"/>
      <c r="AO245" s="32"/>
      <c r="AP245" s="32"/>
      <c r="AQ245" s="32"/>
    </row>
    <row r="246" spans="1:43" ht="15.75" customHeight="1">
      <c r="A246" s="441" t="s">
        <v>2062</v>
      </c>
      <c r="B246" s="14" t="s">
        <v>429</v>
      </c>
      <c r="C246" s="247" t="s">
        <v>170</v>
      </c>
      <c r="D246" s="232"/>
      <c r="E246" s="58"/>
      <c r="F246" s="47" t="s">
        <v>2063</v>
      </c>
      <c r="G246" s="32" t="s">
        <v>2064</v>
      </c>
      <c r="H246" s="48" t="s">
        <v>2065</v>
      </c>
      <c r="I246" s="43" t="s">
        <v>2066</v>
      </c>
      <c r="J246" s="35"/>
      <c r="K246" s="107"/>
      <c r="L246" s="107" t="s">
        <v>2067</v>
      </c>
      <c r="M246" s="32" t="s">
        <v>2068</v>
      </c>
      <c r="N246" s="89" t="s">
        <v>2069</v>
      </c>
      <c r="O246" s="89"/>
      <c r="P246" s="55"/>
      <c r="Q246" s="56"/>
      <c r="R246" s="36" t="s">
        <v>138</v>
      </c>
      <c r="S246" s="32" t="s">
        <v>41</v>
      </c>
      <c r="T246" s="21"/>
      <c r="U246" s="28"/>
      <c r="V246" s="28"/>
      <c r="W246" s="29"/>
      <c r="X246" s="72"/>
      <c r="Y246" s="102"/>
      <c r="Z246" s="102"/>
      <c r="AA246" s="102"/>
      <c r="AB246" s="41"/>
      <c r="AC246" s="32"/>
      <c r="AD246" s="21"/>
      <c r="AE246" s="32"/>
      <c r="AF246" s="32"/>
      <c r="AG246" s="32"/>
      <c r="AH246" s="32"/>
      <c r="AI246" s="32"/>
      <c r="AJ246" s="32"/>
      <c r="AK246" s="32"/>
      <c r="AL246" s="32"/>
      <c r="AM246" s="32"/>
      <c r="AN246" s="32"/>
      <c r="AO246" s="32"/>
      <c r="AP246" s="32"/>
      <c r="AQ246" s="32"/>
    </row>
    <row r="247" spans="1:43" ht="15.75" customHeight="1">
      <c r="A247" s="459" t="s">
        <v>3753</v>
      </c>
      <c r="B247" s="356" t="s">
        <v>2070</v>
      </c>
      <c r="C247" s="259" t="s">
        <v>3757</v>
      </c>
      <c r="E247" s="227"/>
      <c r="F247" s="227" t="s">
        <v>3754</v>
      </c>
      <c r="G247" s="227" t="s">
        <v>3755</v>
      </c>
      <c r="H247" s="360" t="s">
        <v>3940</v>
      </c>
      <c r="I247" s="358" t="s">
        <v>1898</v>
      </c>
      <c r="J247" s="227"/>
      <c r="K247" s="227"/>
      <c r="L247" s="227"/>
      <c r="M247" s="358" t="s">
        <v>3938</v>
      </c>
      <c r="N247" s="396" t="s">
        <v>3980</v>
      </c>
      <c r="O247" s="395"/>
      <c r="P247" s="290" t="s">
        <v>1891</v>
      </c>
      <c r="Q247" s="290" t="s">
        <v>1892</v>
      </c>
      <c r="R247" s="299" t="s">
        <v>382</v>
      </c>
      <c r="S247" s="360" t="s">
        <v>41</v>
      </c>
      <c r="T247" s="360" t="s">
        <v>3756</v>
      </c>
      <c r="U247" s="360" t="s">
        <v>1891</v>
      </c>
      <c r="V247" s="360" t="s">
        <v>1892</v>
      </c>
      <c r="W247" s="227"/>
      <c r="X247" s="227"/>
      <c r="Y247" s="370" t="s">
        <v>3930</v>
      </c>
      <c r="Z247" s="227"/>
      <c r="AA247" s="227"/>
      <c r="AB247" s="227"/>
      <c r="AC247" s="360" t="s">
        <v>2071</v>
      </c>
      <c r="AD247" s="227" t="s">
        <v>3931</v>
      </c>
      <c r="AE247" s="227"/>
      <c r="AF247" s="227"/>
      <c r="AG247" s="227"/>
      <c r="AH247" s="227"/>
      <c r="AI247" s="227"/>
      <c r="AJ247" s="227"/>
      <c r="AK247" s="227"/>
      <c r="AL247" s="227"/>
      <c r="AM247" s="227"/>
      <c r="AN247" s="227"/>
      <c r="AO247" s="227"/>
      <c r="AP247" s="227"/>
      <c r="AQ247" s="227"/>
    </row>
    <row r="248" spans="1:43" ht="15.75" customHeight="1">
      <c r="A248" s="459" t="s">
        <v>3749</v>
      </c>
      <c r="B248" s="360" t="s">
        <v>3750</v>
      </c>
      <c r="C248" s="259" t="s">
        <v>3757</v>
      </c>
      <c r="E248" s="227"/>
      <c r="F248" s="227"/>
      <c r="G248" s="360"/>
      <c r="H248" s="360" t="s">
        <v>3941</v>
      </c>
      <c r="I248" s="358" t="s">
        <v>2018</v>
      </c>
      <c r="J248" s="227"/>
      <c r="K248" s="227"/>
      <c r="L248" s="227"/>
      <c r="M248" s="358" t="s">
        <v>3938</v>
      </c>
      <c r="N248" s="396" t="s">
        <v>3980</v>
      </c>
      <c r="O248" s="395"/>
      <c r="P248" s="290" t="s">
        <v>1891</v>
      </c>
      <c r="Q248" s="290" t="s">
        <v>1892</v>
      </c>
      <c r="R248" s="299" t="s">
        <v>382</v>
      </c>
      <c r="S248" s="360" t="s">
        <v>41</v>
      </c>
      <c r="T248" s="360" t="s">
        <v>3751</v>
      </c>
      <c r="U248" s="360" t="s">
        <v>1891</v>
      </c>
      <c r="V248" s="360" t="s">
        <v>1892</v>
      </c>
      <c r="W248" s="227"/>
      <c r="X248" s="227"/>
      <c r="Y248" s="360" t="s">
        <v>3752</v>
      </c>
      <c r="Z248" s="227"/>
      <c r="AA248" s="227"/>
      <c r="AB248" s="227"/>
      <c r="AC248" s="360"/>
      <c r="AD248" s="227"/>
      <c r="AE248" s="227"/>
      <c r="AF248" s="227"/>
      <c r="AG248" s="227"/>
      <c r="AH248" s="227"/>
      <c r="AI248" s="227"/>
      <c r="AJ248" s="227"/>
      <c r="AK248" s="227"/>
      <c r="AL248" s="227"/>
      <c r="AM248" s="227"/>
      <c r="AN248" s="227"/>
      <c r="AO248" s="227"/>
      <c r="AP248" s="227"/>
      <c r="AQ248" s="227"/>
    </row>
    <row r="249" spans="1:43" ht="15.75" customHeight="1">
      <c r="A249" s="441" t="s">
        <v>2072</v>
      </c>
      <c r="B249" s="14" t="s">
        <v>429</v>
      </c>
      <c r="C249" s="247" t="s">
        <v>170</v>
      </c>
      <c r="D249" s="232"/>
      <c r="E249" s="58"/>
      <c r="F249" s="47" t="s">
        <v>2073</v>
      </c>
      <c r="G249" s="32" t="s">
        <v>2074</v>
      </c>
      <c r="H249" s="48" t="s">
        <v>2075</v>
      </c>
      <c r="I249" s="43" t="s">
        <v>2076</v>
      </c>
      <c r="J249" s="22" t="s">
        <v>2077</v>
      </c>
      <c r="K249" s="22"/>
      <c r="L249" s="22"/>
      <c r="M249" s="53" t="s">
        <v>1339</v>
      </c>
      <c r="N249" s="54" t="s">
        <v>2078</v>
      </c>
      <c r="O249" s="54"/>
      <c r="P249" s="55"/>
      <c r="Q249" s="56"/>
      <c r="R249" s="148" t="s">
        <v>1053</v>
      </c>
      <c r="S249" s="32" t="s">
        <v>41</v>
      </c>
      <c r="T249" s="21"/>
      <c r="U249" s="28" t="s">
        <v>1054</v>
      </c>
      <c r="V249" s="143" t="s">
        <v>2079</v>
      </c>
      <c r="W249" s="29"/>
      <c r="X249" s="29"/>
      <c r="Y249" s="30" t="s">
        <v>2080</v>
      </c>
      <c r="Z249" s="30"/>
      <c r="AA249" s="30"/>
      <c r="AB249" s="41"/>
      <c r="AC249" s="21" t="s">
        <v>1209</v>
      </c>
      <c r="AD249" s="21"/>
      <c r="AE249" s="32"/>
      <c r="AF249" s="32"/>
      <c r="AG249" s="32"/>
      <c r="AH249" s="32"/>
      <c r="AI249" s="32"/>
      <c r="AJ249" s="32"/>
      <c r="AK249" s="32"/>
      <c r="AL249" s="32"/>
      <c r="AM249" s="32"/>
      <c r="AN249" s="32"/>
      <c r="AO249" s="32"/>
      <c r="AP249" s="32"/>
      <c r="AQ249" s="32"/>
    </row>
    <row r="250" spans="1:43" ht="15.75" customHeight="1">
      <c r="A250" s="441" t="s">
        <v>2081</v>
      </c>
      <c r="B250" s="14" t="s">
        <v>429</v>
      </c>
      <c r="C250" s="247" t="s">
        <v>170</v>
      </c>
      <c r="D250" s="232"/>
      <c r="E250" s="58"/>
      <c r="F250" s="16" t="s">
        <v>2082</v>
      </c>
      <c r="G250" s="32" t="s">
        <v>2083</v>
      </c>
      <c r="H250" s="48" t="s">
        <v>2084</v>
      </c>
      <c r="I250" s="43" t="s">
        <v>2085</v>
      </c>
      <c r="J250" s="22" t="s">
        <v>1917</v>
      </c>
      <c r="K250" s="22"/>
      <c r="L250" s="22"/>
      <c r="M250" s="36" t="s">
        <v>136</v>
      </c>
      <c r="N250" s="54" t="s">
        <v>2086</v>
      </c>
      <c r="O250" s="54"/>
      <c r="P250" s="55"/>
      <c r="Q250" s="56"/>
      <c r="R250" s="95" t="s">
        <v>138</v>
      </c>
      <c r="S250" s="32" t="s">
        <v>41</v>
      </c>
      <c r="T250" s="21"/>
      <c r="U250" s="28"/>
      <c r="V250" s="28"/>
      <c r="W250" s="29"/>
      <c r="X250" s="29"/>
      <c r="Y250" s="30"/>
      <c r="Z250" s="30"/>
      <c r="AA250" s="30"/>
      <c r="AB250" s="41"/>
      <c r="AC250" s="32"/>
      <c r="AD250" s="21"/>
      <c r="AE250" s="32"/>
      <c r="AF250" s="32"/>
      <c r="AG250" s="32"/>
      <c r="AH250" s="32"/>
      <c r="AI250" s="32"/>
      <c r="AJ250" s="32"/>
      <c r="AK250" s="32"/>
      <c r="AL250" s="32"/>
      <c r="AM250" s="32"/>
      <c r="AN250" s="32"/>
      <c r="AO250" s="32"/>
      <c r="AP250" s="32"/>
      <c r="AQ250" s="32"/>
    </row>
    <row r="251" spans="1:43" ht="15.75" customHeight="1">
      <c r="A251" s="441" t="s">
        <v>2087</v>
      </c>
      <c r="B251" s="14" t="s">
        <v>429</v>
      </c>
      <c r="C251" s="247" t="s">
        <v>170</v>
      </c>
      <c r="D251" s="232"/>
      <c r="E251" s="58"/>
      <c r="F251" s="47" t="s">
        <v>2088</v>
      </c>
      <c r="G251" s="32" t="s">
        <v>2089</v>
      </c>
      <c r="H251" s="48" t="s">
        <v>2090</v>
      </c>
      <c r="I251" s="43" t="s">
        <v>2091</v>
      </c>
      <c r="J251" s="22" t="s">
        <v>2092</v>
      </c>
      <c r="K251" s="22"/>
      <c r="L251" s="22"/>
      <c r="M251" s="36" t="s">
        <v>136</v>
      </c>
      <c r="N251" s="38" t="s">
        <v>2093</v>
      </c>
      <c r="O251" s="38"/>
      <c r="P251" s="25"/>
      <c r="Q251" s="26"/>
      <c r="R251" s="95" t="s">
        <v>138</v>
      </c>
      <c r="S251" s="32" t="s">
        <v>41</v>
      </c>
      <c r="T251" s="21" t="s">
        <v>2094</v>
      </c>
      <c r="U251" s="28"/>
      <c r="V251" s="28"/>
      <c r="W251" s="29"/>
      <c r="X251" s="29"/>
      <c r="Y251" s="30"/>
      <c r="Z251" s="30"/>
      <c r="AA251" s="30"/>
      <c r="AB251" s="41"/>
      <c r="AC251" s="32"/>
      <c r="AD251" s="21"/>
      <c r="AE251" s="32"/>
      <c r="AF251" s="32"/>
      <c r="AG251" s="32"/>
      <c r="AH251" s="32"/>
      <c r="AI251" s="32"/>
      <c r="AJ251" s="32"/>
      <c r="AK251" s="32"/>
      <c r="AL251" s="32"/>
      <c r="AM251" s="32"/>
      <c r="AN251" s="32"/>
      <c r="AO251" s="32"/>
      <c r="AP251" s="32"/>
      <c r="AQ251" s="32"/>
    </row>
    <row r="252" spans="1:43" ht="15.75" customHeight="1">
      <c r="A252" s="441" t="s">
        <v>2095</v>
      </c>
      <c r="B252" s="14" t="s">
        <v>429</v>
      </c>
      <c r="C252" s="247" t="s">
        <v>170</v>
      </c>
      <c r="D252" s="232"/>
      <c r="E252" s="58"/>
      <c r="F252" s="16" t="s">
        <v>2096</v>
      </c>
      <c r="G252" s="32"/>
      <c r="H252" s="48" t="s">
        <v>2097</v>
      </c>
      <c r="I252" s="43" t="s">
        <v>2098</v>
      </c>
      <c r="J252" s="82"/>
      <c r="K252" s="82"/>
      <c r="L252" s="82"/>
      <c r="M252" s="135" t="s">
        <v>649</v>
      </c>
      <c r="N252" s="89"/>
      <c r="O252" s="89" t="s">
        <v>2099</v>
      </c>
      <c r="P252" s="90"/>
      <c r="Q252" s="91" t="s">
        <v>2100</v>
      </c>
      <c r="R252" s="32" t="s">
        <v>517</v>
      </c>
      <c r="S252" s="32" t="s">
        <v>41</v>
      </c>
      <c r="T252" s="21"/>
      <c r="U252" s="28"/>
      <c r="V252" s="28"/>
      <c r="W252" s="29" t="s">
        <v>1910</v>
      </c>
      <c r="X252" s="29" t="s">
        <v>1985</v>
      </c>
      <c r="Y252" s="30" t="s">
        <v>2101</v>
      </c>
      <c r="Z252" s="30" t="s">
        <v>2102</v>
      </c>
      <c r="AA252" s="30"/>
      <c r="AB252" s="31"/>
      <c r="AC252" s="32"/>
      <c r="AD252" s="21"/>
      <c r="AE252" s="32"/>
      <c r="AF252" s="32"/>
      <c r="AG252" s="32"/>
      <c r="AH252" s="32"/>
      <c r="AI252" s="32"/>
      <c r="AJ252" s="32"/>
      <c r="AK252" s="32"/>
      <c r="AL252" s="32"/>
      <c r="AM252" s="32"/>
      <c r="AN252" s="32"/>
      <c r="AO252" s="32"/>
      <c r="AP252" s="32"/>
      <c r="AQ252" s="32"/>
    </row>
    <row r="253" spans="1:43" ht="15.75" customHeight="1">
      <c r="A253" s="441" t="s">
        <v>2103</v>
      </c>
      <c r="B253" s="14" t="s">
        <v>429</v>
      </c>
      <c r="C253" s="248" t="s">
        <v>3773</v>
      </c>
      <c r="D253" s="232"/>
      <c r="E253" s="58"/>
      <c r="F253" s="16" t="s">
        <v>2104</v>
      </c>
      <c r="G253" s="32"/>
      <c r="H253" s="32" t="s">
        <v>2105</v>
      </c>
      <c r="I253" s="43" t="s">
        <v>2106</v>
      </c>
      <c r="J253" s="82"/>
      <c r="K253" s="138"/>
      <c r="L253" s="82" t="s">
        <v>2107</v>
      </c>
      <c r="M253" s="53" t="s">
        <v>2108</v>
      </c>
      <c r="N253" s="54" t="s">
        <v>2109</v>
      </c>
      <c r="O253" s="54"/>
      <c r="P253" s="55"/>
      <c r="Q253" s="56"/>
      <c r="R253" s="115" t="s">
        <v>382</v>
      </c>
      <c r="S253" s="32" t="s">
        <v>41</v>
      </c>
      <c r="T253" s="21" t="s">
        <v>2110</v>
      </c>
      <c r="U253" s="28"/>
      <c r="V253" s="28"/>
      <c r="W253" s="29"/>
      <c r="X253" s="29"/>
      <c r="Y253" s="30"/>
      <c r="Z253" s="30"/>
      <c r="AA253" s="30"/>
      <c r="AB253" s="41"/>
      <c r="AC253" s="32"/>
      <c r="AD253" s="21"/>
      <c r="AE253" s="32"/>
      <c r="AF253" s="32"/>
      <c r="AG253" s="32"/>
      <c r="AH253" s="32"/>
      <c r="AI253" s="32"/>
      <c r="AJ253" s="32"/>
      <c r="AK253" s="32"/>
      <c r="AL253" s="32"/>
      <c r="AM253" s="32"/>
      <c r="AN253" s="32"/>
      <c r="AO253" s="32"/>
      <c r="AP253" s="32"/>
      <c r="AQ253" s="32"/>
    </row>
    <row r="254" spans="1:43" ht="15.75" customHeight="1">
      <c r="A254" s="441" t="s">
        <v>2111</v>
      </c>
      <c r="B254" s="14" t="s">
        <v>429</v>
      </c>
      <c r="C254" s="247" t="s">
        <v>170</v>
      </c>
      <c r="D254" s="232"/>
      <c r="E254" s="58"/>
      <c r="F254" s="47" t="s">
        <v>2112</v>
      </c>
      <c r="G254" s="32"/>
      <c r="H254" s="95" t="s">
        <v>2113</v>
      </c>
      <c r="I254" s="43" t="s">
        <v>2114</v>
      </c>
      <c r="J254" s="35"/>
      <c r="K254" s="107"/>
      <c r="L254" s="107" t="s">
        <v>2115</v>
      </c>
      <c r="M254" s="36" t="s">
        <v>2116</v>
      </c>
      <c r="N254" s="54" t="s">
        <v>2117</v>
      </c>
      <c r="O254" s="54"/>
      <c r="P254" s="90" t="s">
        <v>2099</v>
      </c>
      <c r="Q254" s="56" t="s">
        <v>2100</v>
      </c>
      <c r="R254" s="32" t="s">
        <v>2118</v>
      </c>
      <c r="S254" s="21" t="s">
        <v>41</v>
      </c>
      <c r="T254" s="21" t="s">
        <v>2119</v>
      </c>
      <c r="U254" s="28"/>
      <c r="V254" s="28"/>
      <c r="W254" s="29"/>
      <c r="X254" s="29"/>
      <c r="Y254" s="30"/>
      <c r="Z254" s="30"/>
      <c r="AA254" s="30"/>
      <c r="AB254" s="41"/>
      <c r="AC254" s="32"/>
      <c r="AD254" s="21"/>
      <c r="AE254" s="32"/>
      <c r="AF254" s="32"/>
      <c r="AG254" s="32"/>
      <c r="AH254" s="32"/>
      <c r="AI254" s="32"/>
      <c r="AJ254" s="32"/>
      <c r="AK254" s="32"/>
      <c r="AL254" s="32"/>
      <c r="AM254" s="32"/>
      <c r="AN254" s="32"/>
      <c r="AO254" s="32"/>
      <c r="AP254" s="32"/>
      <c r="AQ254" s="32"/>
    </row>
    <row r="255" spans="1:43" ht="15.75" customHeight="1">
      <c r="A255" s="441" t="s">
        <v>2120</v>
      </c>
      <c r="B255" s="14" t="s">
        <v>429</v>
      </c>
      <c r="C255" s="250" t="s">
        <v>170</v>
      </c>
      <c r="D255" s="232"/>
      <c r="E255" s="58"/>
      <c r="F255" s="47" t="s">
        <v>2121</v>
      </c>
      <c r="G255" s="32"/>
      <c r="H255" s="32" t="s">
        <v>2122</v>
      </c>
      <c r="I255" s="43" t="s">
        <v>2123</v>
      </c>
      <c r="J255" s="107"/>
      <c r="K255" s="107"/>
      <c r="L255" s="107" t="s">
        <v>2124</v>
      </c>
      <c r="M255" s="36" t="s">
        <v>2125</v>
      </c>
      <c r="N255" s="54" t="s">
        <v>2126</v>
      </c>
      <c r="O255" s="54"/>
      <c r="P255" s="55"/>
      <c r="Q255" s="56"/>
      <c r="R255" s="115" t="s">
        <v>382</v>
      </c>
      <c r="S255" s="32" t="s">
        <v>41</v>
      </c>
      <c r="T255" s="21" t="s">
        <v>2127</v>
      </c>
      <c r="U255" s="28"/>
      <c r="V255" s="28"/>
      <c r="W255" s="29"/>
      <c r="X255" s="29"/>
      <c r="Y255" s="30"/>
      <c r="Z255" s="30"/>
      <c r="AA255" s="30"/>
      <c r="AB255" s="41"/>
      <c r="AC255" s="32"/>
      <c r="AD255" s="32"/>
      <c r="AE255" s="32"/>
      <c r="AF255" s="32"/>
      <c r="AG255" s="32"/>
      <c r="AH255" s="32"/>
      <c r="AI255" s="32"/>
      <c r="AJ255" s="32"/>
      <c r="AK255" s="32"/>
      <c r="AL255" s="32"/>
      <c r="AM255" s="32"/>
      <c r="AN255" s="32"/>
      <c r="AO255" s="32"/>
      <c r="AP255" s="32"/>
      <c r="AQ255" s="32"/>
    </row>
    <row r="256" spans="1:43" ht="15.75" customHeight="1">
      <c r="A256" s="441" t="s">
        <v>2128</v>
      </c>
      <c r="B256" s="21" t="s">
        <v>996</v>
      </c>
      <c r="C256" s="253" t="s">
        <v>2128</v>
      </c>
      <c r="D256" s="235"/>
      <c r="E256" s="58" t="s">
        <v>2129</v>
      </c>
      <c r="F256" s="21" t="s">
        <v>1089</v>
      </c>
      <c r="G256" s="21" t="s">
        <v>2130</v>
      </c>
      <c r="H256" s="119" t="s">
        <v>2131</v>
      </c>
      <c r="I256" s="125" t="s">
        <v>2132</v>
      </c>
      <c r="J256" s="22"/>
      <c r="K256" s="82"/>
      <c r="L256" s="82" t="s">
        <v>2133</v>
      </c>
      <c r="M256" s="53" t="s">
        <v>1339</v>
      </c>
      <c r="N256" s="131" t="s">
        <v>2134</v>
      </c>
      <c r="O256" s="131"/>
      <c r="P256" s="90"/>
      <c r="Q256" s="91"/>
      <c r="R256" s="148" t="s">
        <v>1053</v>
      </c>
      <c r="S256" s="21" t="s">
        <v>41</v>
      </c>
      <c r="T256" s="21" t="s">
        <v>2135</v>
      </c>
      <c r="U256" s="28" t="s">
        <v>1054</v>
      </c>
      <c r="V256" s="143" t="s">
        <v>2136</v>
      </c>
      <c r="W256" s="29"/>
      <c r="X256" s="29"/>
      <c r="Y256" s="179" t="s">
        <v>2137</v>
      </c>
      <c r="Z256" s="179"/>
      <c r="AA256" s="179"/>
      <c r="AB256" s="31" t="s">
        <v>1056</v>
      </c>
      <c r="AC256" s="21" t="s">
        <v>1209</v>
      </c>
      <c r="AD256" s="21"/>
      <c r="AE256" s="21"/>
      <c r="AF256" s="21"/>
      <c r="AG256" s="21"/>
      <c r="AH256" s="21"/>
      <c r="AI256" s="21"/>
      <c r="AJ256" s="21"/>
      <c r="AK256" s="21"/>
      <c r="AL256" s="21"/>
      <c r="AM256" s="21"/>
      <c r="AN256" s="21"/>
      <c r="AO256" s="21"/>
      <c r="AP256" s="21"/>
      <c r="AQ256" s="21"/>
    </row>
    <row r="257" spans="1:43" ht="15.75" customHeight="1">
      <c r="A257" s="441" t="s">
        <v>2138</v>
      </c>
      <c r="B257" s="14" t="s">
        <v>429</v>
      </c>
      <c r="C257" s="247" t="s">
        <v>170</v>
      </c>
      <c r="D257" s="232"/>
      <c r="E257" s="58"/>
      <c r="F257" s="47" t="s">
        <v>2139</v>
      </c>
      <c r="G257" s="32"/>
      <c r="H257" s="32" t="s">
        <v>2140</v>
      </c>
      <c r="I257" s="43" t="s">
        <v>2141</v>
      </c>
      <c r="J257" s="22"/>
      <c r="K257" s="22"/>
      <c r="L257" s="22" t="s">
        <v>2142</v>
      </c>
      <c r="M257" s="95" t="s">
        <v>2143</v>
      </c>
      <c r="N257" s="38" t="s">
        <v>2144</v>
      </c>
      <c r="O257" s="38" t="s">
        <v>2099</v>
      </c>
      <c r="P257" s="90"/>
      <c r="Q257" s="26" t="s">
        <v>2145</v>
      </c>
      <c r="R257" s="101" t="s">
        <v>40</v>
      </c>
      <c r="S257" s="32" t="s">
        <v>41</v>
      </c>
      <c r="T257" s="21"/>
      <c r="U257" s="28"/>
      <c r="V257" s="28"/>
      <c r="W257" s="29"/>
      <c r="X257" s="29"/>
      <c r="Y257" s="30"/>
      <c r="Z257" s="30"/>
      <c r="AA257" s="30"/>
      <c r="AB257" s="41"/>
      <c r="AC257" s="32"/>
      <c r="AD257" s="32"/>
      <c r="AE257" s="32"/>
      <c r="AF257" s="32"/>
      <c r="AG257" s="32"/>
      <c r="AH257" s="32"/>
      <c r="AI257" s="32"/>
      <c r="AJ257" s="32"/>
      <c r="AK257" s="32"/>
      <c r="AL257" s="32"/>
      <c r="AM257" s="32"/>
      <c r="AN257" s="32"/>
      <c r="AO257" s="32"/>
      <c r="AP257" s="32"/>
      <c r="AQ257" s="32"/>
    </row>
    <row r="258" spans="1:43" ht="15.75" customHeight="1">
      <c r="A258" s="441" t="s">
        <v>3839</v>
      </c>
      <c r="B258" s="14" t="s">
        <v>429</v>
      </c>
      <c r="C258" s="253" t="s">
        <v>2146</v>
      </c>
      <c r="D258" s="232"/>
      <c r="E258" s="58"/>
      <c r="F258" s="47" t="s">
        <v>2147</v>
      </c>
      <c r="G258" s="32"/>
      <c r="H258" s="32" t="s">
        <v>2148</v>
      </c>
      <c r="I258" s="43" t="s">
        <v>2149</v>
      </c>
      <c r="J258" s="22"/>
      <c r="K258" s="82"/>
      <c r="L258" s="82" t="s">
        <v>2150</v>
      </c>
      <c r="M258" s="95" t="s">
        <v>2151</v>
      </c>
      <c r="N258" s="38" t="s">
        <v>2152</v>
      </c>
      <c r="O258" s="38"/>
      <c r="P258" s="90" t="s">
        <v>2099</v>
      </c>
      <c r="Q258" s="26" t="s">
        <v>2100</v>
      </c>
      <c r="R258" s="101" t="s">
        <v>40</v>
      </c>
      <c r="S258" s="32" t="s">
        <v>41</v>
      </c>
      <c r="T258" s="21"/>
      <c r="U258" s="28"/>
      <c r="V258" s="28"/>
      <c r="W258" s="29"/>
      <c r="X258" s="29"/>
      <c r="Y258" s="30"/>
      <c r="Z258" s="30"/>
      <c r="AA258" s="30"/>
      <c r="AB258" s="41"/>
      <c r="AC258" s="47" t="s">
        <v>2153</v>
      </c>
      <c r="AD258" s="32"/>
      <c r="AE258" s="32"/>
      <c r="AF258" s="32"/>
      <c r="AG258" s="32"/>
      <c r="AH258" s="32"/>
      <c r="AI258" s="32"/>
      <c r="AJ258" s="32"/>
      <c r="AK258" s="32"/>
      <c r="AL258" s="32"/>
      <c r="AM258" s="32"/>
      <c r="AN258" s="32"/>
      <c r="AO258" s="32"/>
      <c r="AP258" s="32"/>
      <c r="AQ258" s="32"/>
    </row>
    <row r="259" spans="1:43" ht="15.75" customHeight="1">
      <c r="A259" s="441" t="s">
        <v>2154</v>
      </c>
      <c r="B259" s="14" t="s">
        <v>429</v>
      </c>
      <c r="C259" s="247" t="s">
        <v>170</v>
      </c>
      <c r="D259" s="232"/>
      <c r="E259" s="58"/>
      <c r="F259" s="32" t="s">
        <v>1089</v>
      </c>
      <c r="G259" s="32"/>
      <c r="H259" s="48" t="s">
        <v>2155</v>
      </c>
      <c r="I259" s="43" t="s">
        <v>2156</v>
      </c>
      <c r="J259" s="82"/>
      <c r="K259" s="82"/>
      <c r="L259" s="22" t="s">
        <v>795</v>
      </c>
      <c r="M259" s="53" t="s">
        <v>2157</v>
      </c>
      <c r="N259" s="73"/>
      <c r="O259" s="73" t="s">
        <v>2158</v>
      </c>
      <c r="P259" s="74"/>
      <c r="Q259" s="91" t="s">
        <v>2159</v>
      </c>
      <c r="R259" s="32" t="s">
        <v>702</v>
      </c>
      <c r="S259" s="32" t="s">
        <v>41</v>
      </c>
      <c r="T259" s="21"/>
      <c r="U259" s="28"/>
      <c r="V259" s="28"/>
      <c r="W259" s="29" t="s">
        <v>1910</v>
      </c>
      <c r="X259" s="29" t="s">
        <v>1985</v>
      </c>
      <c r="Y259" s="30" t="s">
        <v>2160</v>
      </c>
      <c r="Z259" s="30"/>
      <c r="AA259" s="30"/>
      <c r="AB259" s="31"/>
      <c r="AC259" s="32"/>
      <c r="AD259" s="21"/>
      <c r="AE259" s="32"/>
      <c r="AF259" s="32"/>
      <c r="AG259" s="32"/>
      <c r="AH259" s="32"/>
      <c r="AI259" s="32"/>
      <c r="AJ259" s="32"/>
      <c r="AK259" s="32"/>
      <c r="AL259" s="32"/>
      <c r="AM259" s="32"/>
      <c r="AN259" s="32"/>
      <c r="AO259" s="32"/>
      <c r="AP259" s="32"/>
      <c r="AQ259" s="32"/>
    </row>
    <row r="260" spans="1:43" ht="15.75" customHeight="1">
      <c r="A260" s="441" t="s">
        <v>2161</v>
      </c>
      <c r="B260" s="14" t="s">
        <v>429</v>
      </c>
      <c r="C260" s="247" t="s">
        <v>170</v>
      </c>
      <c r="D260" s="232"/>
      <c r="E260" s="58"/>
      <c r="F260" s="32" t="s">
        <v>1089</v>
      </c>
      <c r="G260" s="32" t="s">
        <v>2162</v>
      </c>
      <c r="H260" s="95" t="s">
        <v>2163</v>
      </c>
      <c r="I260" s="43" t="s">
        <v>2164</v>
      </c>
      <c r="J260" s="98"/>
      <c r="K260" s="82"/>
      <c r="L260" s="22" t="s">
        <v>2092</v>
      </c>
      <c r="M260" s="36" t="s">
        <v>2165</v>
      </c>
      <c r="N260" s="54" t="s">
        <v>2166</v>
      </c>
      <c r="O260" s="54"/>
      <c r="P260" s="55"/>
      <c r="Q260" s="56"/>
      <c r="R260" s="101" t="s">
        <v>40</v>
      </c>
      <c r="S260" s="32" t="s">
        <v>41</v>
      </c>
      <c r="T260" s="21"/>
      <c r="U260" s="28"/>
      <c r="V260" s="28"/>
      <c r="W260" s="29"/>
      <c r="X260" s="29"/>
      <c r="Y260" s="30" t="s">
        <v>2167</v>
      </c>
      <c r="Z260" s="30"/>
      <c r="AA260" s="30"/>
      <c r="AB260" s="41"/>
      <c r="AC260" s="32" t="s">
        <v>2168</v>
      </c>
      <c r="AD260" s="21"/>
      <c r="AE260" s="32"/>
      <c r="AF260" s="32"/>
      <c r="AG260" s="32"/>
      <c r="AH260" s="32"/>
      <c r="AI260" s="32"/>
      <c r="AJ260" s="32"/>
      <c r="AK260" s="32"/>
      <c r="AL260" s="32"/>
      <c r="AM260" s="32"/>
      <c r="AN260" s="32"/>
      <c r="AO260" s="32"/>
      <c r="AP260" s="32"/>
      <c r="AQ260" s="32"/>
    </row>
    <row r="261" spans="1:43" ht="15.75" customHeight="1">
      <c r="A261" s="441" t="s">
        <v>2169</v>
      </c>
      <c r="B261" s="14" t="s">
        <v>429</v>
      </c>
      <c r="C261" s="247" t="s">
        <v>170</v>
      </c>
      <c r="D261" s="232"/>
      <c r="E261" s="58"/>
      <c r="F261" s="16" t="s">
        <v>2170</v>
      </c>
      <c r="G261" s="32"/>
      <c r="H261" s="32" t="s">
        <v>2171</v>
      </c>
      <c r="I261" s="43" t="s">
        <v>574</v>
      </c>
      <c r="J261" s="35"/>
      <c r="K261" s="22"/>
      <c r="L261" s="22" t="s">
        <v>2172</v>
      </c>
      <c r="M261" s="95" t="s">
        <v>2173</v>
      </c>
      <c r="N261" s="54" t="s">
        <v>2174</v>
      </c>
      <c r="O261" s="54"/>
      <c r="P261" s="90" t="s">
        <v>2099</v>
      </c>
      <c r="Q261" s="56" t="s">
        <v>2100</v>
      </c>
      <c r="R261" s="101" t="s">
        <v>40</v>
      </c>
      <c r="S261" s="32" t="s">
        <v>41</v>
      </c>
      <c r="T261" s="21"/>
      <c r="U261" s="28"/>
      <c r="V261" s="28"/>
      <c r="W261" s="29" t="s">
        <v>1910</v>
      </c>
      <c r="X261" s="60" t="s">
        <v>1985</v>
      </c>
      <c r="Y261" s="30" t="s">
        <v>2175</v>
      </c>
      <c r="Z261" s="30"/>
      <c r="AA261" s="30"/>
      <c r="AB261" s="41"/>
      <c r="AC261" s="32"/>
      <c r="AD261" s="21"/>
      <c r="AE261" s="32"/>
      <c r="AF261" s="32"/>
      <c r="AG261" s="32"/>
      <c r="AH261" s="32"/>
      <c r="AI261" s="32"/>
      <c r="AJ261" s="32"/>
      <c r="AK261" s="32"/>
      <c r="AL261" s="32"/>
      <c r="AM261" s="32"/>
      <c r="AN261" s="32"/>
      <c r="AO261" s="32"/>
      <c r="AP261" s="32"/>
      <c r="AQ261" s="32"/>
    </row>
    <row r="262" spans="1:43" ht="15.75" customHeight="1">
      <c r="A262" s="441" t="s">
        <v>2176</v>
      </c>
      <c r="B262" s="14" t="s">
        <v>429</v>
      </c>
      <c r="C262" s="247" t="s">
        <v>170</v>
      </c>
      <c r="D262" s="232"/>
      <c r="E262" s="58"/>
      <c r="F262" s="16" t="s">
        <v>2177</v>
      </c>
      <c r="G262" s="32" t="s">
        <v>2178</v>
      </c>
      <c r="H262" s="32" t="s">
        <v>2179</v>
      </c>
      <c r="I262" s="43" t="s">
        <v>2180</v>
      </c>
      <c r="J262" s="381" t="s">
        <v>2181</v>
      </c>
      <c r="K262" s="107"/>
      <c r="L262" s="107"/>
      <c r="M262" s="43" t="s">
        <v>136</v>
      </c>
      <c r="N262" s="54" t="s">
        <v>2182</v>
      </c>
      <c r="O262" s="54"/>
      <c r="P262" s="55"/>
      <c r="Q262" s="56"/>
      <c r="R262" s="32" t="s">
        <v>156</v>
      </c>
      <c r="S262" s="32" t="s">
        <v>41</v>
      </c>
      <c r="T262" s="21"/>
      <c r="U262" s="28"/>
      <c r="V262" s="28"/>
      <c r="W262" s="29"/>
      <c r="X262" s="29"/>
      <c r="Y262" s="30"/>
      <c r="Z262" s="30"/>
      <c r="AA262" s="30"/>
      <c r="AB262" s="41"/>
      <c r="AC262" s="32"/>
      <c r="AD262" s="21"/>
      <c r="AE262" s="32"/>
      <c r="AF262" s="32"/>
      <c r="AG262" s="32"/>
      <c r="AH262" s="32"/>
      <c r="AI262" s="32"/>
      <c r="AJ262" s="32"/>
      <c r="AK262" s="32"/>
      <c r="AL262" s="32"/>
      <c r="AM262" s="32"/>
      <c r="AN262" s="32"/>
      <c r="AO262" s="32"/>
      <c r="AP262" s="32"/>
      <c r="AQ262" s="32"/>
    </row>
    <row r="263" spans="1:43" ht="15.75" customHeight="1">
      <c r="A263" s="441" t="s">
        <v>3838</v>
      </c>
      <c r="B263" s="14" t="s">
        <v>429</v>
      </c>
      <c r="C263" s="246" t="s">
        <v>2183</v>
      </c>
      <c r="D263" s="232"/>
      <c r="E263" s="58"/>
      <c r="F263" s="265" t="s">
        <v>2184</v>
      </c>
      <c r="G263" s="32"/>
      <c r="H263" s="32" t="s">
        <v>2185</v>
      </c>
      <c r="I263" s="43" t="s">
        <v>2186</v>
      </c>
      <c r="J263" s="22"/>
      <c r="K263" s="22"/>
      <c r="L263" s="22"/>
      <c r="M263" s="95" t="s">
        <v>2187</v>
      </c>
      <c r="N263" s="38" t="s">
        <v>2188</v>
      </c>
      <c r="O263" s="38"/>
      <c r="P263" s="25"/>
      <c r="Q263" s="26"/>
      <c r="R263" s="101" t="s">
        <v>40</v>
      </c>
      <c r="S263" s="32" t="s">
        <v>41</v>
      </c>
      <c r="T263" s="21"/>
      <c r="U263" s="28"/>
      <c r="V263" s="28"/>
      <c r="W263" s="29"/>
      <c r="X263" s="29"/>
      <c r="Y263" s="30"/>
      <c r="Z263" s="30"/>
      <c r="AA263" s="30"/>
      <c r="AB263" s="41"/>
      <c r="AC263" s="32"/>
      <c r="AD263" s="21"/>
      <c r="AE263" s="32"/>
      <c r="AF263" s="32"/>
      <c r="AG263" s="32"/>
      <c r="AH263" s="32"/>
      <c r="AI263" s="32"/>
      <c r="AJ263" s="32"/>
      <c r="AK263" s="32"/>
      <c r="AL263" s="32"/>
      <c r="AM263" s="32"/>
      <c r="AN263" s="32"/>
      <c r="AO263" s="32"/>
      <c r="AP263" s="32"/>
      <c r="AQ263" s="32"/>
    </row>
    <row r="264" spans="1:43" ht="15.75" customHeight="1">
      <c r="A264" s="441" t="s">
        <v>2189</v>
      </c>
      <c r="B264" s="14" t="s">
        <v>429</v>
      </c>
      <c r="C264" s="247" t="s">
        <v>170</v>
      </c>
      <c r="D264" s="232"/>
      <c r="E264" s="58"/>
      <c r="F264" s="16" t="s">
        <v>2190</v>
      </c>
      <c r="G264" s="32"/>
      <c r="H264" s="32" t="s">
        <v>2191</v>
      </c>
      <c r="I264" s="43" t="s">
        <v>2192</v>
      </c>
      <c r="J264" s="22"/>
      <c r="K264" s="22"/>
      <c r="L264" s="22" t="s">
        <v>648</v>
      </c>
      <c r="M264" s="135" t="s">
        <v>649</v>
      </c>
      <c r="N264" s="54" t="s">
        <v>2193</v>
      </c>
      <c r="O264" s="54" t="s">
        <v>651</v>
      </c>
      <c r="P264" s="55"/>
      <c r="Q264" s="56" t="s">
        <v>652</v>
      </c>
      <c r="R264" s="32" t="s">
        <v>517</v>
      </c>
      <c r="S264" s="32" t="s">
        <v>41</v>
      </c>
      <c r="T264" s="21"/>
      <c r="U264" s="28"/>
      <c r="V264" s="28"/>
      <c r="W264" s="29"/>
      <c r="X264" s="29"/>
      <c r="Y264" s="30"/>
      <c r="Z264" s="30" t="s">
        <v>2194</v>
      </c>
      <c r="AA264" s="30" t="s">
        <v>2195</v>
      </c>
      <c r="AB264" s="41"/>
      <c r="AC264" s="32"/>
      <c r="AD264" s="21"/>
      <c r="AE264" s="32"/>
      <c r="AF264" s="32"/>
      <c r="AG264" s="32"/>
      <c r="AH264" s="32"/>
      <c r="AI264" s="32"/>
      <c r="AJ264" s="32"/>
      <c r="AK264" s="32"/>
      <c r="AL264" s="32"/>
      <c r="AM264" s="32"/>
      <c r="AN264" s="32"/>
      <c r="AO264" s="32"/>
      <c r="AP264" s="32"/>
      <c r="AQ264" s="32"/>
    </row>
    <row r="265" spans="1:43" ht="15.75" customHeight="1">
      <c r="A265" s="441" t="s">
        <v>3964</v>
      </c>
      <c r="B265" s="14" t="s">
        <v>2196</v>
      </c>
      <c r="C265" s="247" t="s">
        <v>170</v>
      </c>
      <c r="D265" s="232"/>
      <c r="E265" s="58"/>
      <c r="F265" s="32" t="s">
        <v>1089</v>
      </c>
      <c r="G265" s="32" t="s">
        <v>2197</v>
      </c>
      <c r="H265" s="33" t="s">
        <v>2198</v>
      </c>
      <c r="I265" s="43" t="s">
        <v>2199</v>
      </c>
      <c r="J265" s="22"/>
      <c r="K265" s="22"/>
      <c r="L265" s="22"/>
      <c r="M265" s="53" t="s">
        <v>3938</v>
      </c>
      <c r="N265" s="54" t="s">
        <v>3981</v>
      </c>
      <c r="O265" s="54"/>
      <c r="P265" s="290" t="s">
        <v>1891</v>
      </c>
      <c r="Q265" s="290" t="s">
        <v>1892</v>
      </c>
      <c r="R265" s="115" t="s">
        <v>382</v>
      </c>
      <c r="S265" s="32" t="s">
        <v>41</v>
      </c>
      <c r="T265" s="21"/>
      <c r="U265" s="28"/>
      <c r="V265" s="28"/>
      <c r="W265" s="29"/>
      <c r="X265" s="29"/>
      <c r="Y265" s="30"/>
      <c r="Z265" s="30"/>
      <c r="AA265" s="30"/>
      <c r="AB265" s="41"/>
      <c r="AC265" s="32"/>
      <c r="AD265" s="21"/>
      <c r="AE265" s="32"/>
      <c r="AF265" s="32"/>
      <c r="AG265" s="32"/>
      <c r="AH265" s="32"/>
      <c r="AI265" s="32"/>
      <c r="AJ265" s="32"/>
      <c r="AK265" s="32"/>
      <c r="AL265" s="32"/>
      <c r="AM265" s="32"/>
      <c r="AN265" s="32"/>
      <c r="AO265" s="32"/>
      <c r="AP265" s="32"/>
      <c r="AQ265" s="32"/>
    </row>
    <row r="266" spans="1:43" ht="15.75" customHeight="1">
      <c r="A266" s="441" t="s">
        <v>3837</v>
      </c>
      <c r="B266" s="14" t="s">
        <v>429</v>
      </c>
      <c r="C266" s="246" t="s">
        <v>2200</v>
      </c>
      <c r="D266" s="232"/>
      <c r="E266" s="58"/>
      <c r="F266" s="371" t="s">
        <v>2201</v>
      </c>
      <c r="G266" s="32"/>
      <c r="H266" s="32" t="s">
        <v>2202</v>
      </c>
      <c r="I266" s="43" t="s">
        <v>2203</v>
      </c>
      <c r="J266" s="22"/>
      <c r="K266" s="22" t="s">
        <v>2204</v>
      </c>
      <c r="L266" s="22"/>
      <c r="M266" s="53" t="s">
        <v>2205</v>
      </c>
      <c r="N266" s="54" t="s">
        <v>2206</v>
      </c>
      <c r="O266" s="54"/>
      <c r="P266" s="55"/>
      <c r="Q266" s="56"/>
      <c r="R266" s="99" t="s">
        <v>537</v>
      </c>
      <c r="S266" s="32" t="s">
        <v>41</v>
      </c>
      <c r="T266" s="21"/>
      <c r="U266" s="28"/>
      <c r="V266" s="28"/>
      <c r="W266" s="29"/>
      <c r="X266" s="29"/>
      <c r="Y266" s="164"/>
      <c r="Z266" s="164"/>
      <c r="AA266" s="164" t="s">
        <v>2207</v>
      </c>
      <c r="AB266" s="41">
        <v>1669</v>
      </c>
      <c r="AC266" s="32"/>
      <c r="AD266" s="21"/>
      <c r="AE266" s="32"/>
      <c r="AF266" s="32"/>
      <c r="AG266" s="32"/>
      <c r="AH266" s="32"/>
      <c r="AI266" s="32"/>
      <c r="AJ266" s="32"/>
      <c r="AK266" s="32"/>
      <c r="AL266" s="32"/>
      <c r="AM266" s="32"/>
      <c r="AN266" s="32"/>
      <c r="AO266" s="32"/>
      <c r="AP266" s="32"/>
      <c r="AQ266" s="32"/>
    </row>
    <row r="267" spans="1:43" ht="15.75" customHeight="1">
      <c r="A267" s="441" t="s">
        <v>2208</v>
      </c>
      <c r="B267" s="14" t="s">
        <v>429</v>
      </c>
      <c r="C267" s="250" t="s">
        <v>170</v>
      </c>
      <c r="D267" s="232"/>
      <c r="E267" s="58"/>
      <c r="F267" s="47" t="s">
        <v>2209</v>
      </c>
      <c r="G267" s="32"/>
      <c r="H267" s="95" t="s">
        <v>2210</v>
      </c>
      <c r="I267" s="43" t="s">
        <v>2211</v>
      </c>
      <c r="J267" s="82"/>
      <c r="K267" s="82"/>
      <c r="L267" s="82"/>
      <c r="M267" s="53" t="s">
        <v>1608</v>
      </c>
      <c r="N267" s="54" t="s">
        <v>2212</v>
      </c>
      <c r="O267" s="54" t="s">
        <v>2213</v>
      </c>
      <c r="P267" s="55"/>
      <c r="Q267" s="56" t="s">
        <v>2214</v>
      </c>
      <c r="R267" s="32" t="s">
        <v>517</v>
      </c>
      <c r="S267" s="32" t="s">
        <v>41</v>
      </c>
      <c r="T267" s="21"/>
      <c r="U267" s="28"/>
      <c r="V267" s="28"/>
      <c r="W267" s="29"/>
      <c r="X267" s="29"/>
      <c r="Y267" s="30"/>
      <c r="Z267" s="30" t="s">
        <v>2215</v>
      </c>
      <c r="AA267" s="30" t="s">
        <v>2216</v>
      </c>
      <c r="AB267" s="41"/>
      <c r="AC267" s="32"/>
      <c r="AD267" s="21"/>
      <c r="AE267" s="32"/>
      <c r="AF267" s="32"/>
      <c r="AG267" s="32"/>
      <c r="AH267" s="32"/>
      <c r="AI267" s="32"/>
      <c r="AJ267" s="32"/>
      <c r="AK267" s="32"/>
      <c r="AL267" s="32"/>
      <c r="AM267" s="32"/>
      <c r="AN267" s="32"/>
      <c r="AO267" s="32"/>
      <c r="AP267" s="32"/>
      <c r="AQ267" s="32"/>
    </row>
    <row r="268" spans="1:43" ht="15.75" customHeight="1">
      <c r="A268" s="441" t="s">
        <v>2217</v>
      </c>
      <c r="B268" s="14" t="s">
        <v>429</v>
      </c>
      <c r="C268" s="247" t="s">
        <v>170</v>
      </c>
      <c r="D268" s="232"/>
      <c r="E268" s="58"/>
      <c r="F268" s="47" t="s">
        <v>2218</v>
      </c>
      <c r="G268" s="32" t="s">
        <v>2219</v>
      </c>
      <c r="H268" s="95" t="s">
        <v>2220</v>
      </c>
      <c r="I268" s="125" t="s">
        <v>1441</v>
      </c>
      <c r="J268" s="22" t="s">
        <v>2221</v>
      </c>
      <c r="K268" s="22"/>
      <c r="L268" s="22"/>
      <c r="M268" s="125" t="s">
        <v>649</v>
      </c>
      <c r="N268" s="38" t="s">
        <v>2222</v>
      </c>
      <c r="O268" s="294"/>
      <c r="P268" s="124"/>
      <c r="Q268" s="26"/>
      <c r="R268" s="99" t="s">
        <v>1095</v>
      </c>
      <c r="S268" s="32" t="s">
        <v>41</v>
      </c>
      <c r="T268" s="21"/>
      <c r="U268" s="28"/>
      <c r="V268" s="28"/>
      <c r="W268" s="29" t="s">
        <v>2223</v>
      </c>
      <c r="X268" s="29" t="s">
        <v>2224</v>
      </c>
      <c r="Y268" s="30" t="s">
        <v>2225</v>
      </c>
      <c r="Z268" s="30"/>
      <c r="AA268" s="30"/>
      <c r="AB268" s="41"/>
      <c r="AC268" s="32"/>
      <c r="AD268" s="21"/>
      <c r="AE268" s="32"/>
      <c r="AF268" s="32"/>
      <c r="AG268" s="32"/>
      <c r="AH268" s="32"/>
      <c r="AI268" s="32"/>
      <c r="AJ268" s="32"/>
      <c r="AK268" s="32"/>
      <c r="AL268" s="32"/>
      <c r="AM268" s="32"/>
      <c r="AN268" s="32"/>
      <c r="AO268" s="32"/>
      <c r="AP268" s="32"/>
      <c r="AQ268" s="32"/>
    </row>
    <row r="269" spans="1:43" ht="15.75" customHeight="1">
      <c r="A269" s="441" t="s">
        <v>3836</v>
      </c>
      <c r="B269" s="66" t="s">
        <v>2226</v>
      </c>
      <c r="C269" s="246" t="s">
        <v>2227</v>
      </c>
      <c r="D269" s="232"/>
      <c r="E269" s="58"/>
      <c r="F269" s="32" t="s">
        <v>2228</v>
      </c>
      <c r="G269" s="32" t="s">
        <v>2229</v>
      </c>
      <c r="H269" s="48" t="s">
        <v>2230</v>
      </c>
      <c r="I269" s="125" t="s">
        <v>2231</v>
      </c>
      <c r="J269" s="22"/>
      <c r="K269" s="22"/>
      <c r="L269" s="22"/>
      <c r="M269" s="43" t="s">
        <v>1093</v>
      </c>
      <c r="N269" s="89" t="s">
        <v>2232</v>
      </c>
      <c r="O269" s="89"/>
      <c r="P269" s="74" t="s">
        <v>2233</v>
      </c>
      <c r="Q269" s="91" t="s">
        <v>2234</v>
      </c>
      <c r="R269" s="32" t="s">
        <v>375</v>
      </c>
      <c r="S269" s="32" t="s">
        <v>383</v>
      </c>
      <c r="T269" s="21"/>
      <c r="U269" s="28"/>
      <c r="V269" s="28"/>
      <c r="W269" s="29" t="s">
        <v>2223</v>
      </c>
      <c r="X269" s="29" t="s">
        <v>2235</v>
      </c>
      <c r="Y269" s="30" t="s">
        <v>2236</v>
      </c>
      <c r="Z269" s="30"/>
      <c r="AA269" s="30"/>
      <c r="AB269" s="41"/>
      <c r="AC269" s="32"/>
      <c r="AD269" s="21"/>
      <c r="AE269" s="32"/>
      <c r="AF269" s="32"/>
      <c r="AG269" s="32"/>
      <c r="AH269" s="32"/>
      <c r="AI269" s="32"/>
      <c r="AJ269" s="32"/>
      <c r="AK269" s="32"/>
      <c r="AL269" s="32"/>
      <c r="AM269" s="32"/>
      <c r="AN269" s="32"/>
      <c r="AO269" s="32"/>
      <c r="AP269" s="32"/>
      <c r="AQ269" s="32"/>
    </row>
    <row r="270" spans="1:43" ht="15.75" customHeight="1">
      <c r="A270" s="441" t="s">
        <v>2237</v>
      </c>
      <c r="B270" s="33" t="s">
        <v>996</v>
      </c>
      <c r="C270" s="247" t="s">
        <v>170</v>
      </c>
      <c r="D270" s="232"/>
      <c r="E270" s="58"/>
      <c r="F270" s="16" t="s">
        <v>2238</v>
      </c>
      <c r="G270" s="32" t="s">
        <v>2239</v>
      </c>
      <c r="H270" s="95" t="s">
        <v>2240</v>
      </c>
      <c r="I270" s="43" t="s">
        <v>2241</v>
      </c>
      <c r="J270" s="22"/>
      <c r="K270" s="22"/>
      <c r="L270" s="22"/>
      <c r="M270" s="292" t="s">
        <v>3938</v>
      </c>
      <c r="N270" s="73" t="s">
        <v>3982</v>
      </c>
      <c r="O270" s="73"/>
      <c r="P270" s="290" t="s">
        <v>1891</v>
      </c>
      <c r="Q270" s="290" t="s">
        <v>1892</v>
      </c>
      <c r="R270" s="115" t="s">
        <v>382</v>
      </c>
      <c r="S270" s="32" t="s">
        <v>41</v>
      </c>
      <c r="T270" s="21"/>
      <c r="U270" s="290" t="s">
        <v>1891</v>
      </c>
      <c r="V270" s="414" t="s">
        <v>1892</v>
      </c>
      <c r="W270" s="29"/>
      <c r="X270" s="29"/>
      <c r="Y270" s="30" t="s">
        <v>3943</v>
      </c>
      <c r="Z270" s="30"/>
      <c r="AA270" s="30"/>
      <c r="AB270" s="41"/>
      <c r="AC270" s="32"/>
      <c r="AD270" s="21"/>
      <c r="AE270" s="32"/>
      <c r="AF270" s="32"/>
      <c r="AG270" s="32"/>
      <c r="AH270" s="32"/>
      <c r="AI270" s="32"/>
      <c r="AJ270" s="32"/>
      <c r="AK270" s="32"/>
      <c r="AL270" s="32"/>
      <c r="AM270" s="32"/>
      <c r="AN270" s="32"/>
      <c r="AO270" s="32"/>
      <c r="AP270" s="32"/>
      <c r="AQ270" s="32"/>
    </row>
    <row r="271" spans="1:43" ht="15.75" customHeight="1">
      <c r="A271" s="441" t="s">
        <v>2242</v>
      </c>
      <c r="B271" s="32" t="s">
        <v>2243</v>
      </c>
      <c r="C271" s="247" t="s">
        <v>170</v>
      </c>
      <c r="D271" s="232"/>
      <c r="E271" s="58"/>
      <c r="F271" s="32" t="s">
        <v>1089</v>
      </c>
      <c r="G271" s="32" t="s">
        <v>2244</v>
      </c>
      <c r="H271" s="48" t="s">
        <v>2245</v>
      </c>
      <c r="I271" s="43" t="s">
        <v>2246</v>
      </c>
      <c r="J271" s="22"/>
      <c r="K271" s="22"/>
      <c r="L271" s="22"/>
      <c r="M271" s="310" t="s">
        <v>2247</v>
      </c>
      <c r="N271" s="54" t="s">
        <v>2248</v>
      </c>
      <c r="O271" s="54"/>
      <c r="P271" s="55"/>
      <c r="Q271" s="56"/>
      <c r="R271" s="115" t="s">
        <v>79</v>
      </c>
      <c r="S271" s="32" t="s">
        <v>41</v>
      </c>
      <c r="T271" s="21"/>
      <c r="U271" s="28"/>
      <c r="V271" s="28"/>
      <c r="W271" s="29"/>
      <c r="X271" s="29"/>
      <c r="Y271" s="30"/>
      <c r="Z271" s="30"/>
      <c r="AA271" s="30"/>
      <c r="AB271" s="41"/>
      <c r="AC271" s="32"/>
      <c r="AD271" s="21"/>
      <c r="AE271" s="32"/>
      <c r="AF271" s="32"/>
      <c r="AG271" s="32"/>
      <c r="AH271" s="32"/>
      <c r="AI271" s="32"/>
      <c r="AJ271" s="32"/>
      <c r="AK271" s="32"/>
      <c r="AL271" s="32"/>
      <c r="AM271" s="32"/>
      <c r="AN271" s="32"/>
      <c r="AO271" s="32"/>
      <c r="AP271" s="32"/>
      <c r="AQ271" s="32"/>
    </row>
    <row r="272" spans="1:43" ht="15.75" customHeight="1">
      <c r="A272" s="441" t="s">
        <v>2249</v>
      </c>
      <c r="B272" s="14" t="s">
        <v>429</v>
      </c>
      <c r="C272" s="247" t="s">
        <v>170</v>
      </c>
      <c r="D272" s="232"/>
      <c r="E272" s="58"/>
      <c r="F272" s="47" t="s">
        <v>2250</v>
      </c>
      <c r="G272" s="32"/>
      <c r="H272" s="48" t="s">
        <v>2251</v>
      </c>
      <c r="I272" s="43" t="s">
        <v>2252</v>
      </c>
      <c r="J272" s="76" t="s">
        <v>2253</v>
      </c>
      <c r="K272" s="76"/>
      <c r="L272" s="76"/>
      <c r="M272" s="310" t="s">
        <v>136</v>
      </c>
      <c r="N272" s="73" t="s">
        <v>2254</v>
      </c>
      <c r="O272" s="73"/>
      <c r="P272" s="74"/>
      <c r="Q272" s="75"/>
      <c r="R272" s="32" t="s">
        <v>634</v>
      </c>
      <c r="S272" s="32" t="s">
        <v>41</v>
      </c>
      <c r="T272" s="21"/>
      <c r="U272" s="28"/>
      <c r="V272" s="28"/>
      <c r="W272" s="29"/>
      <c r="X272" s="29"/>
      <c r="Y272" s="30"/>
      <c r="Z272" s="30"/>
      <c r="AA272" s="30"/>
      <c r="AB272" s="41"/>
      <c r="AC272" s="32"/>
      <c r="AD272" s="21"/>
      <c r="AE272" s="32"/>
      <c r="AF272" s="32"/>
      <c r="AG272" s="32"/>
      <c r="AH272" s="32"/>
      <c r="AI272" s="32"/>
      <c r="AJ272" s="32"/>
      <c r="AK272" s="32"/>
      <c r="AL272" s="32"/>
      <c r="AM272" s="32"/>
      <c r="AN272" s="32"/>
      <c r="AO272" s="32"/>
      <c r="AP272" s="32"/>
      <c r="AQ272" s="32"/>
    </row>
    <row r="273" spans="1:43" ht="15.75" customHeight="1">
      <c r="A273" s="455" t="s">
        <v>2255</v>
      </c>
      <c r="B273" s="14" t="s">
        <v>429</v>
      </c>
      <c r="C273" s="247" t="s">
        <v>170</v>
      </c>
      <c r="D273" s="232"/>
      <c r="E273" s="58"/>
      <c r="F273" s="16" t="s">
        <v>2256</v>
      </c>
      <c r="G273" s="32" t="s">
        <v>2257</v>
      </c>
      <c r="H273" s="48" t="s">
        <v>2258</v>
      </c>
      <c r="I273" s="43" t="s">
        <v>2259</v>
      </c>
      <c r="J273" s="379" t="s">
        <v>2260</v>
      </c>
      <c r="K273" s="103"/>
      <c r="L273" s="103"/>
      <c r="M273" s="310" t="s">
        <v>136</v>
      </c>
      <c r="N273" s="54" t="s">
        <v>2261</v>
      </c>
      <c r="O273" s="54"/>
      <c r="P273" s="55"/>
      <c r="Q273" s="56"/>
      <c r="R273" s="32" t="s">
        <v>634</v>
      </c>
      <c r="S273" s="32" t="s">
        <v>41</v>
      </c>
      <c r="T273" s="21"/>
      <c r="U273" s="28"/>
      <c r="V273" s="28"/>
      <c r="W273" s="29"/>
      <c r="X273" s="29"/>
      <c r="Y273" s="30"/>
      <c r="Z273" s="30"/>
      <c r="AA273" s="30"/>
      <c r="AB273" s="41"/>
      <c r="AC273" s="32"/>
      <c r="AD273" s="21"/>
      <c r="AE273" s="32"/>
      <c r="AF273" s="32"/>
      <c r="AG273" s="32"/>
      <c r="AH273" s="32"/>
      <c r="AI273" s="32"/>
      <c r="AJ273" s="32"/>
      <c r="AK273" s="32"/>
      <c r="AL273" s="32"/>
      <c r="AM273" s="32"/>
      <c r="AN273" s="32"/>
      <c r="AO273" s="32"/>
      <c r="AP273" s="32"/>
      <c r="AQ273" s="32"/>
    </row>
    <row r="274" spans="1:43" ht="15.75" customHeight="1">
      <c r="A274" s="441" t="s">
        <v>3978</v>
      </c>
      <c r="B274" s="14" t="s">
        <v>429</v>
      </c>
      <c r="C274" s="247" t="s">
        <v>170</v>
      </c>
      <c r="D274" s="232"/>
      <c r="E274" s="58"/>
      <c r="F274" s="47" t="s">
        <v>2262</v>
      </c>
      <c r="G274" s="32" t="s">
        <v>2263</v>
      </c>
      <c r="H274" s="48" t="s">
        <v>2264</v>
      </c>
      <c r="I274" s="43" t="s">
        <v>2265</v>
      </c>
      <c r="J274" s="107" t="s">
        <v>2266</v>
      </c>
      <c r="K274" s="107"/>
      <c r="L274" s="107"/>
      <c r="M274" s="310" t="s">
        <v>136</v>
      </c>
      <c r="N274" s="73" t="s">
        <v>2267</v>
      </c>
      <c r="O274" s="73"/>
      <c r="P274" s="74"/>
      <c r="Q274" s="75"/>
      <c r="R274" s="32" t="s">
        <v>634</v>
      </c>
      <c r="S274" s="32" t="s">
        <v>41</v>
      </c>
      <c r="T274" s="21" t="s">
        <v>2268</v>
      </c>
      <c r="U274" s="28"/>
      <c r="V274" s="28"/>
      <c r="W274" s="29"/>
      <c r="X274" s="29"/>
      <c r="Y274" s="30"/>
      <c r="Z274" s="30"/>
      <c r="AA274" s="30"/>
      <c r="AB274" s="41"/>
      <c r="AC274" s="32"/>
      <c r="AD274" s="21"/>
      <c r="AE274" s="32"/>
      <c r="AF274" s="32"/>
      <c r="AG274" s="32"/>
      <c r="AH274" s="32"/>
      <c r="AI274" s="32"/>
      <c r="AJ274" s="32"/>
      <c r="AK274" s="32"/>
      <c r="AL274" s="32"/>
      <c r="AM274" s="32"/>
      <c r="AN274" s="32"/>
      <c r="AO274" s="32"/>
      <c r="AP274" s="32"/>
      <c r="AQ274" s="32"/>
    </row>
    <row r="275" spans="1:43" ht="15.75" customHeight="1">
      <c r="A275" s="441" t="s">
        <v>2269</v>
      </c>
      <c r="B275" s="14" t="s">
        <v>2270</v>
      </c>
      <c r="C275" s="247" t="s">
        <v>170</v>
      </c>
      <c r="D275" s="232"/>
      <c r="E275" s="58"/>
      <c r="F275" s="32" t="s">
        <v>2271</v>
      </c>
      <c r="G275" s="32" t="s">
        <v>2272</v>
      </c>
      <c r="H275" s="95" t="s">
        <v>2273</v>
      </c>
      <c r="I275" s="17" t="s">
        <v>2274</v>
      </c>
      <c r="J275" s="22" t="s">
        <v>2260</v>
      </c>
      <c r="K275" s="22"/>
      <c r="L275" s="22"/>
      <c r="M275" s="310" t="s">
        <v>136</v>
      </c>
      <c r="N275" s="38" t="s">
        <v>2275</v>
      </c>
      <c r="O275" s="38"/>
      <c r="P275" s="25"/>
      <c r="Q275" s="26"/>
      <c r="R275" s="32" t="s">
        <v>634</v>
      </c>
      <c r="S275" s="32" t="s">
        <v>41</v>
      </c>
      <c r="T275" s="21" t="s">
        <v>2276</v>
      </c>
      <c r="U275" s="28"/>
      <c r="V275" s="28"/>
      <c r="W275" s="29"/>
      <c r="X275" s="29"/>
      <c r="Y275" s="30"/>
      <c r="Z275" s="30"/>
      <c r="AA275" s="30"/>
      <c r="AB275" s="41"/>
      <c r="AC275" s="32"/>
      <c r="AD275" s="21"/>
      <c r="AE275" s="32"/>
      <c r="AF275" s="32"/>
      <c r="AG275" s="32"/>
      <c r="AH275" s="32"/>
      <c r="AI275" s="32"/>
      <c r="AJ275" s="32"/>
      <c r="AK275" s="32"/>
      <c r="AL275" s="32"/>
      <c r="AM275" s="32"/>
      <c r="AN275" s="32"/>
      <c r="AO275" s="32"/>
      <c r="AP275" s="32"/>
      <c r="AQ275" s="32"/>
    </row>
    <row r="276" spans="1:43" ht="15.75" customHeight="1">
      <c r="A276" s="441" t="s">
        <v>2277</v>
      </c>
      <c r="B276" s="14" t="s">
        <v>429</v>
      </c>
      <c r="C276" s="248" t="s">
        <v>142</v>
      </c>
      <c r="D276" s="232"/>
      <c r="E276" s="58"/>
      <c r="F276" s="32" t="s">
        <v>2271</v>
      </c>
      <c r="G276" s="32" t="s">
        <v>2278</v>
      </c>
      <c r="H276" s="48" t="s">
        <v>2279</v>
      </c>
      <c r="I276" s="43" t="s">
        <v>2280</v>
      </c>
      <c r="J276" s="22" t="s">
        <v>2281</v>
      </c>
      <c r="K276" s="22"/>
      <c r="L276" s="22"/>
      <c r="M276" s="36" t="s">
        <v>136</v>
      </c>
      <c r="N276" s="54" t="s">
        <v>2282</v>
      </c>
      <c r="O276" s="54"/>
      <c r="P276" s="55"/>
      <c r="Q276" s="56"/>
      <c r="R276" s="32" t="s">
        <v>634</v>
      </c>
      <c r="S276" s="32" t="s">
        <v>41</v>
      </c>
      <c r="T276" s="21" t="s">
        <v>2283</v>
      </c>
      <c r="U276" s="28"/>
      <c r="V276" s="28"/>
      <c r="W276" s="29" t="s">
        <v>2223</v>
      </c>
      <c r="X276" s="29" t="s">
        <v>2224</v>
      </c>
      <c r="Y276" s="30" t="s">
        <v>2284</v>
      </c>
      <c r="Z276" s="30"/>
      <c r="AA276" s="30"/>
      <c r="AB276" s="180" t="s">
        <v>2285</v>
      </c>
      <c r="AC276" s="32"/>
      <c r="AD276" s="21"/>
      <c r="AE276" s="32"/>
      <c r="AF276" s="32"/>
      <c r="AG276" s="32"/>
      <c r="AH276" s="32"/>
      <c r="AI276" s="32"/>
      <c r="AJ276" s="32"/>
      <c r="AK276" s="32"/>
      <c r="AL276" s="32"/>
      <c r="AM276" s="32"/>
      <c r="AN276" s="32"/>
      <c r="AO276" s="32"/>
      <c r="AP276" s="32"/>
      <c r="AQ276" s="32"/>
    </row>
    <row r="277" spans="1:43" ht="15.75" customHeight="1">
      <c r="A277" s="441" t="s">
        <v>2286</v>
      </c>
      <c r="B277" s="14" t="s">
        <v>996</v>
      </c>
      <c r="C277" s="247" t="s">
        <v>170</v>
      </c>
      <c r="D277" s="232"/>
      <c r="E277" s="58"/>
      <c r="F277" s="32" t="s">
        <v>2271</v>
      </c>
      <c r="G277" s="32" t="s">
        <v>2287</v>
      </c>
      <c r="H277" s="33" t="s">
        <v>2240</v>
      </c>
      <c r="I277" s="43" t="s">
        <v>2288</v>
      </c>
      <c r="J277" s="82"/>
      <c r="K277" s="82"/>
      <c r="L277" s="22"/>
      <c r="M277" s="292" t="s">
        <v>3938</v>
      </c>
      <c r="N277" s="38" t="s">
        <v>3983</v>
      </c>
      <c r="O277" s="38"/>
      <c r="P277" s="290" t="s">
        <v>1891</v>
      </c>
      <c r="Q277" s="290" t="s">
        <v>1892</v>
      </c>
      <c r="R277" s="115" t="s">
        <v>382</v>
      </c>
      <c r="S277" s="32" t="s">
        <v>41</v>
      </c>
      <c r="T277" s="21"/>
      <c r="U277" s="290" t="s">
        <v>1891</v>
      </c>
      <c r="V277" s="414" t="s">
        <v>1892</v>
      </c>
      <c r="W277" s="29"/>
      <c r="X277" s="29"/>
      <c r="Y277" s="30"/>
      <c r="Z277" s="30"/>
      <c r="AA277" s="30"/>
      <c r="AB277" s="41"/>
      <c r="AC277" s="32" t="s">
        <v>1894</v>
      </c>
      <c r="AD277" s="32"/>
      <c r="AE277" s="32"/>
      <c r="AF277" s="32"/>
      <c r="AG277" s="32"/>
      <c r="AH277" s="32"/>
      <c r="AI277" s="32"/>
      <c r="AJ277" s="32"/>
      <c r="AK277" s="32"/>
      <c r="AL277" s="32"/>
      <c r="AM277" s="32"/>
      <c r="AN277" s="32"/>
      <c r="AO277" s="32"/>
      <c r="AP277" s="32"/>
      <c r="AQ277" s="32"/>
    </row>
    <row r="278" spans="1:43" ht="15.75" customHeight="1">
      <c r="A278" s="460" t="s">
        <v>2289</v>
      </c>
      <c r="B278" s="14" t="s">
        <v>429</v>
      </c>
      <c r="C278" s="247" t="s">
        <v>170</v>
      </c>
      <c r="D278" s="232"/>
      <c r="E278" s="58"/>
      <c r="F278" s="265" t="s">
        <v>2290</v>
      </c>
      <c r="G278" s="32" t="s">
        <v>2291</v>
      </c>
      <c r="H278" s="32" t="s">
        <v>2292</v>
      </c>
      <c r="I278" s="43" t="s">
        <v>2293</v>
      </c>
      <c r="J278" s="98"/>
      <c r="K278" s="82"/>
      <c r="L278" s="22" t="s">
        <v>1643</v>
      </c>
      <c r="M278" s="43" t="s">
        <v>2294</v>
      </c>
      <c r="N278" s="38" t="s">
        <v>2295</v>
      </c>
      <c r="O278" s="38" t="s">
        <v>38</v>
      </c>
      <c r="P278" s="25"/>
      <c r="Q278" s="26" t="s">
        <v>1160</v>
      </c>
      <c r="R278" s="101" t="s">
        <v>40</v>
      </c>
      <c r="S278" s="32" t="s">
        <v>41</v>
      </c>
      <c r="T278" s="21"/>
      <c r="U278" s="28"/>
      <c r="V278" s="28"/>
      <c r="W278" s="29" t="s">
        <v>2223</v>
      </c>
      <c r="X278" s="29" t="s">
        <v>2224</v>
      </c>
      <c r="Y278" s="30" t="s">
        <v>2284</v>
      </c>
      <c r="Z278" s="30"/>
      <c r="AA278" s="30"/>
      <c r="AB278" s="46" t="s">
        <v>2296</v>
      </c>
      <c r="AC278" s="32"/>
      <c r="AD278" s="32"/>
      <c r="AE278" s="32"/>
      <c r="AF278" s="32"/>
      <c r="AG278" s="32"/>
      <c r="AH278" s="32"/>
      <c r="AI278" s="32"/>
      <c r="AJ278" s="32"/>
      <c r="AK278" s="32"/>
      <c r="AL278" s="32"/>
      <c r="AM278" s="32"/>
      <c r="AN278" s="32"/>
      <c r="AO278" s="32"/>
      <c r="AP278" s="32"/>
      <c r="AQ278" s="32"/>
    </row>
    <row r="279" spans="1:43" ht="15.75" customHeight="1">
      <c r="A279" s="460" t="s">
        <v>2297</v>
      </c>
      <c r="B279" s="14" t="s">
        <v>429</v>
      </c>
      <c r="C279" s="247" t="s">
        <v>170</v>
      </c>
      <c r="D279" s="232"/>
      <c r="E279" s="58"/>
      <c r="F279" s="32" t="s">
        <v>2271</v>
      </c>
      <c r="G279" s="32" t="s">
        <v>2298</v>
      </c>
      <c r="H279" s="32" t="s">
        <v>2299</v>
      </c>
      <c r="I279" s="43" t="s">
        <v>2300</v>
      </c>
      <c r="J279" s="35"/>
      <c r="K279" s="107"/>
      <c r="L279" s="107" t="s">
        <v>2301</v>
      </c>
      <c r="M279" s="95" t="s">
        <v>2068</v>
      </c>
      <c r="N279" s="89" t="s">
        <v>2069</v>
      </c>
      <c r="O279" s="393"/>
      <c r="P279" s="70"/>
      <c r="Q279" s="91"/>
      <c r="R279" s="32" t="s">
        <v>634</v>
      </c>
      <c r="S279" s="32" t="s">
        <v>41</v>
      </c>
      <c r="T279" s="21"/>
      <c r="U279" s="28"/>
      <c r="V279" s="28"/>
      <c r="W279" s="72"/>
      <c r="X279" s="72"/>
      <c r="Y279" s="30"/>
      <c r="Z279" s="30"/>
      <c r="AA279" s="30"/>
      <c r="AB279" s="41"/>
      <c r="AC279" s="32"/>
      <c r="AD279" s="21"/>
      <c r="AE279" s="32"/>
      <c r="AF279" s="32"/>
      <c r="AG279" s="32"/>
      <c r="AH279" s="32"/>
      <c r="AI279" s="32"/>
      <c r="AJ279" s="32"/>
      <c r="AK279" s="32"/>
      <c r="AL279" s="32"/>
      <c r="AM279" s="32"/>
      <c r="AN279" s="32"/>
      <c r="AO279" s="32"/>
      <c r="AP279" s="32"/>
      <c r="AQ279" s="32"/>
    </row>
    <row r="280" spans="1:43" ht="15.75" customHeight="1">
      <c r="A280" s="441" t="s">
        <v>2302</v>
      </c>
      <c r="B280" s="14" t="s">
        <v>1639</v>
      </c>
      <c r="C280" s="247" t="s">
        <v>170</v>
      </c>
      <c r="D280" s="232"/>
      <c r="E280" s="58"/>
      <c r="F280" s="16" t="s">
        <v>2303</v>
      </c>
      <c r="G280" s="32"/>
      <c r="H280" s="48" t="s">
        <v>2304</v>
      </c>
      <c r="I280" s="43" t="s">
        <v>574</v>
      </c>
      <c r="J280" s="22" t="s">
        <v>2305</v>
      </c>
      <c r="K280" s="22"/>
      <c r="L280" s="22"/>
      <c r="M280" s="95" t="s">
        <v>675</v>
      </c>
      <c r="N280" s="38" t="s">
        <v>2152</v>
      </c>
      <c r="O280" s="38"/>
      <c r="P280" s="74" t="s">
        <v>2099</v>
      </c>
      <c r="Q280" s="26" t="s">
        <v>2100</v>
      </c>
      <c r="R280" s="101" t="s">
        <v>40</v>
      </c>
      <c r="S280" s="32" t="s">
        <v>41</v>
      </c>
      <c r="T280" s="21"/>
      <c r="U280" s="28"/>
      <c r="V280" s="28"/>
      <c r="W280" s="29" t="s">
        <v>2223</v>
      </c>
      <c r="X280" s="29" t="s">
        <v>2224</v>
      </c>
      <c r="Y280" s="30" t="s">
        <v>2306</v>
      </c>
      <c r="Z280" s="30"/>
      <c r="AA280" s="30"/>
      <c r="AB280" s="41"/>
      <c r="AC280" s="32"/>
      <c r="AD280" s="21"/>
      <c r="AE280" s="32"/>
      <c r="AF280" s="32"/>
      <c r="AG280" s="32"/>
      <c r="AH280" s="32"/>
      <c r="AI280" s="32"/>
      <c r="AJ280" s="32"/>
      <c r="AK280" s="32"/>
      <c r="AL280" s="32"/>
      <c r="AM280" s="32"/>
      <c r="AN280" s="32"/>
      <c r="AO280" s="32"/>
      <c r="AP280" s="32"/>
      <c r="AQ280" s="32"/>
    </row>
    <row r="281" spans="1:43" ht="15.75" customHeight="1">
      <c r="A281" s="441" t="s">
        <v>2307</v>
      </c>
      <c r="B281" s="95" t="s">
        <v>429</v>
      </c>
      <c r="C281" s="247" t="s">
        <v>170</v>
      </c>
      <c r="D281" s="232"/>
      <c r="E281" s="58"/>
      <c r="F281" s="16" t="s">
        <v>2308</v>
      </c>
      <c r="G281" s="32"/>
      <c r="H281" s="95" t="s">
        <v>2309</v>
      </c>
      <c r="I281" s="43" t="s">
        <v>2310</v>
      </c>
      <c r="J281" s="22" t="s">
        <v>2311</v>
      </c>
      <c r="K281" s="22"/>
      <c r="L281" s="22"/>
      <c r="M281" s="181" t="s">
        <v>2068</v>
      </c>
      <c r="N281" s="54" t="s">
        <v>2069</v>
      </c>
      <c r="O281" s="54"/>
      <c r="P281" s="55"/>
      <c r="Q281" s="56"/>
      <c r="R281" s="32" t="s">
        <v>634</v>
      </c>
      <c r="S281" s="32" t="s">
        <v>41</v>
      </c>
      <c r="T281" s="21"/>
      <c r="U281" s="28"/>
      <c r="V281" s="28"/>
      <c r="W281" s="29"/>
      <c r="X281" s="29"/>
      <c r="Y281" s="30"/>
      <c r="Z281" s="30"/>
      <c r="AA281" s="30"/>
      <c r="AB281" s="41"/>
      <c r="AC281" s="32"/>
      <c r="AD281" s="21"/>
      <c r="AE281" s="32"/>
      <c r="AF281" s="32"/>
      <c r="AG281" s="32"/>
      <c r="AH281" s="32"/>
      <c r="AI281" s="32"/>
      <c r="AJ281" s="32"/>
      <c r="AK281" s="32"/>
      <c r="AL281" s="32"/>
      <c r="AM281" s="32"/>
      <c r="AN281" s="32"/>
      <c r="AO281" s="32"/>
      <c r="AP281" s="32"/>
      <c r="AQ281" s="32"/>
    </row>
    <row r="282" spans="1:43" ht="15.75" customHeight="1">
      <c r="A282" s="441" t="s">
        <v>2312</v>
      </c>
      <c r="B282" s="95" t="s">
        <v>996</v>
      </c>
      <c r="C282" s="247" t="s">
        <v>170</v>
      </c>
      <c r="D282" s="232"/>
      <c r="E282" s="58"/>
      <c r="F282" s="47" t="s">
        <v>2313</v>
      </c>
      <c r="G282" s="32" t="s">
        <v>2314</v>
      </c>
      <c r="H282" s="33" t="s">
        <v>2315</v>
      </c>
      <c r="I282" s="43" t="s">
        <v>2316</v>
      </c>
      <c r="J282" s="22"/>
      <c r="K282" s="22"/>
      <c r="L282" s="22"/>
      <c r="M282" s="292" t="s">
        <v>3938</v>
      </c>
      <c r="N282" s="429" t="s">
        <v>2444</v>
      </c>
      <c r="O282" s="294"/>
      <c r="P282" s="124" t="s">
        <v>1891</v>
      </c>
      <c r="Q282" s="26" t="s">
        <v>1892</v>
      </c>
      <c r="R282" s="115" t="s">
        <v>382</v>
      </c>
      <c r="S282" s="95" t="s">
        <v>41</v>
      </c>
      <c r="T282" s="21"/>
      <c r="U282" s="290" t="s">
        <v>1891</v>
      </c>
      <c r="V282" s="290" t="s">
        <v>1892</v>
      </c>
      <c r="W282" s="29"/>
      <c r="X282" s="29"/>
      <c r="Y282" s="30" t="s">
        <v>3944</v>
      </c>
      <c r="Z282" s="30"/>
      <c r="AA282" s="30"/>
      <c r="AB282" s="41"/>
      <c r="AC282" s="32" t="s">
        <v>1894</v>
      </c>
      <c r="AD282" s="21"/>
      <c r="AE282" s="32"/>
      <c r="AF282" s="32"/>
      <c r="AG282" s="32"/>
      <c r="AH282" s="32"/>
      <c r="AI282" s="32"/>
      <c r="AJ282" s="32"/>
      <c r="AK282" s="32"/>
      <c r="AL282" s="32"/>
      <c r="AM282" s="32"/>
      <c r="AN282" s="32"/>
      <c r="AO282" s="32"/>
      <c r="AP282" s="32"/>
      <c r="AQ282" s="32"/>
    </row>
    <row r="283" spans="1:43" ht="15.75" customHeight="1">
      <c r="A283" s="441" t="s">
        <v>2317</v>
      </c>
      <c r="B283" s="95" t="s">
        <v>429</v>
      </c>
      <c r="C283" s="307" t="s">
        <v>2318</v>
      </c>
      <c r="D283" s="232"/>
      <c r="E283" s="58"/>
      <c r="F283" s="16" t="s">
        <v>2319</v>
      </c>
      <c r="G283" s="32" t="s">
        <v>2320</v>
      </c>
      <c r="H283" s="32" t="s">
        <v>2321</v>
      </c>
      <c r="I283" s="43" t="s">
        <v>2322</v>
      </c>
      <c r="J283" s="22"/>
      <c r="K283" s="22"/>
      <c r="L283" s="22"/>
      <c r="M283" s="391" t="s">
        <v>2323</v>
      </c>
      <c r="N283" s="38" t="s">
        <v>2324</v>
      </c>
      <c r="O283" s="38"/>
      <c r="P283" s="112" t="s">
        <v>1891</v>
      </c>
      <c r="Q283" s="56" t="s">
        <v>1892</v>
      </c>
      <c r="R283" s="32" t="s">
        <v>3972</v>
      </c>
      <c r="S283" s="32" t="s">
        <v>41</v>
      </c>
      <c r="T283" s="21"/>
      <c r="U283" s="28"/>
      <c r="V283" s="28"/>
      <c r="W283" s="29"/>
      <c r="X283" s="29"/>
      <c r="Y283" s="30"/>
      <c r="Z283" s="30"/>
      <c r="AA283" s="30"/>
      <c r="AB283" s="41"/>
      <c r="AC283" s="32" t="s">
        <v>1894</v>
      </c>
      <c r="AD283" s="32"/>
      <c r="AE283" s="32"/>
      <c r="AF283" s="32"/>
      <c r="AG283" s="32"/>
      <c r="AH283" s="32"/>
      <c r="AI283" s="32"/>
      <c r="AJ283" s="32"/>
      <c r="AK283" s="32"/>
      <c r="AL283" s="32"/>
      <c r="AM283" s="32"/>
      <c r="AN283" s="32"/>
      <c r="AO283" s="32"/>
      <c r="AP283" s="32"/>
      <c r="AQ283" s="32"/>
    </row>
    <row r="284" spans="1:43" ht="15.75" customHeight="1">
      <c r="A284" s="441" t="s">
        <v>2325</v>
      </c>
      <c r="B284" s="33" t="s">
        <v>429</v>
      </c>
      <c r="C284" s="247" t="s">
        <v>170</v>
      </c>
      <c r="D284" s="232"/>
      <c r="E284" s="58"/>
      <c r="F284" s="47" t="s">
        <v>2326</v>
      </c>
      <c r="G284" s="32" t="s">
        <v>2327</v>
      </c>
      <c r="H284" s="48" t="s">
        <v>2328</v>
      </c>
      <c r="I284" s="43" t="s">
        <v>2329</v>
      </c>
      <c r="J284" s="22" t="s">
        <v>2330</v>
      </c>
      <c r="K284" s="22"/>
      <c r="L284" s="22"/>
      <c r="M284" s="32" t="s">
        <v>136</v>
      </c>
      <c r="N284" s="38" t="s">
        <v>2331</v>
      </c>
      <c r="O284" s="38"/>
      <c r="P284" s="25"/>
      <c r="Q284" s="26"/>
      <c r="R284" s="32" t="s">
        <v>634</v>
      </c>
      <c r="S284" s="32" t="s">
        <v>383</v>
      </c>
      <c r="T284" s="21" t="s">
        <v>2332</v>
      </c>
      <c r="U284" s="28"/>
      <c r="V284" s="28"/>
      <c r="W284" s="29"/>
      <c r="X284" s="29"/>
      <c r="Y284" s="30"/>
      <c r="Z284" s="30"/>
      <c r="AA284" s="30"/>
      <c r="AB284" s="41"/>
      <c r="AC284" s="32"/>
      <c r="AD284" s="21"/>
      <c r="AE284" s="32"/>
      <c r="AF284" s="32"/>
      <c r="AG284" s="32"/>
      <c r="AH284" s="32"/>
      <c r="AI284" s="32"/>
      <c r="AJ284" s="32"/>
      <c r="AK284" s="32"/>
      <c r="AL284" s="32"/>
      <c r="AM284" s="32"/>
      <c r="AN284" s="32"/>
      <c r="AO284" s="32"/>
      <c r="AP284" s="32"/>
      <c r="AQ284" s="32"/>
    </row>
    <row r="285" spans="1:43" ht="15.75" customHeight="1">
      <c r="A285" s="441" t="s">
        <v>2333</v>
      </c>
      <c r="B285" s="32" t="s">
        <v>2334</v>
      </c>
      <c r="C285" s="247" t="s">
        <v>170</v>
      </c>
      <c r="D285" s="232"/>
      <c r="E285" s="58"/>
      <c r="F285" s="47" t="s">
        <v>2335</v>
      </c>
      <c r="G285" s="32"/>
      <c r="H285" s="14" t="s">
        <v>2336</v>
      </c>
      <c r="I285" s="43" t="s">
        <v>2034</v>
      </c>
      <c r="J285" s="22"/>
      <c r="K285" s="22"/>
      <c r="L285" s="22"/>
      <c r="M285" s="43" t="s">
        <v>1079</v>
      </c>
      <c r="N285" s="38" t="s">
        <v>2337</v>
      </c>
      <c r="O285" s="294"/>
      <c r="P285" s="124"/>
      <c r="Q285" s="26"/>
      <c r="R285" s="115" t="s">
        <v>79</v>
      </c>
      <c r="S285" s="32" t="s">
        <v>41</v>
      </c>
      <c r="T285" s="21"/>
      <c r="U285" s="28"/>
      <c r="V285" s="28"/>
      <c r="W285" s="29"/>
      <c r="X285" s="29"/>
      <c r="Y285" s="30"/>
      <c r="Z285" s="30"/>
      <c r="AA285" s="30"/>
      <c r="AB285" s="41"/>
      <c r="AC285" s="32"/>
      <c r="AD285" s="21"/>
      <c r="AE285" s="32"/>
      <c r="AF285" s="32"/>
      <c r="AG285" s="32"/>
      <c r="AH285" s="32"/>
      <c r="AI285" s="32"/>
      <c r="AJ285" s="32"/>
      <c r="AK285" s="32"/>
      <c r="AL285" s="32"/>
      <c r="AM285" s="32"/>
      <c r="AN285" s="32"/>
      <c r="AO285" s="32"/>
      <c r="AP285" s="32"/>
      <c r="AQ285" s="32"/>
    </row>
    <row r="286" spans="1:43" ht="15.75" customHeight="1">
      <c r="A286" s="441" t="s">
        <v>2338</v>
      </c>
      <c r="B286" s="14" t="s">
        <v>996</v>
      </c>
      <c r="C286" s="247" t="s">
        <v>170</v>
      </c>
      <c r="D286" s="232"/>
      <c r="E286" s="58"/>
      <c r="F286" s="32" t="s">
        <v>2271</v>
      </c>
      <c r="G286" s="32" t="s">
        <v>2339</v>
      </c>
      <c r="H286" s="95" t="s">
        <v>2240</v>
      </c>
      <c r="I286" s="43" t="s">
        <v>2340</v>
      </c>
      <c r="J286" s="22"/>
      <c r="K286" s="22"/>
      <c r="L286" s="22"/>
      <c r="M286" s="390" t="s">
        <v>3938</v>
      </c>
      <c r="N286" s="89" t="s">
        <v>3982</v>
      </c>
      <c r="O286" s="89"/>
      <c r="P286" s="124" t="s">
        <v>1891</v>
      </c>
      <c r="Q286" s="26" t="s">
        <v>1892</v>
      </c>
      <c r="R286" s="115" t="s">
        <v>382</v>
      </c>
      <c r="S286" s="32" t="s">
        <v>41</v>
      </c>
      <c r="T286" s="21" t="s">
        <v>4014</v>
      </c>
      <c r="U286" s="28"/>
      <c r="V286" s="28"/>
      <c r="W286" s="29"/>
      <c r="X286" s="29"/>
      <c r="Y286" s="30"/>
      <c r="Z286" s="30"/>
      <c r="AA286" s="30"/>
      <c r="AB286" s="41"/>
      <c r="AC286" s="32" t="s">
        <v>1894</v>
      </c>
      <c r="AD286" s="21"/>
      <c r="AE286" s="32"/>
      <c r="AF286" s="32"/>
      <c r="AG286" s="32"/>
      <c r="AH286" s="32"/>
      <c r="AI286" s="32"/>
      <c r="AJ286" s="32"/>
      <c r="AK286" s="32"/>
      <c r="AL286" s="32"/>
      <c r="AM286" s="32"/>
      <c r="AN286" s="32"/>
      <c r="AO286" s="32"/>
      <c r="AP286" s="32"/>
      <c r="AQ286" s="32"/>
    </row>
    <row r="287" spans="1:43" ht="15.75" customHeight="1">
      <c r="A287" s="441" t="s">
        <v>2341</v>
      </c>
      <c r="B287" s="14" t="s">
        <v>429</v>
      </c>
      <c r="C287" s="247" t="s">
        <v>170</v>
      </c>
      <c r="D287" s="232"/>
      <c r="E287" s="58"/>
      <c r="F287" s="32" t="s">
        <v>2271</v>
      </c>
      <c r="G287" s="32" t="s">
        <v>2342</v>
      </c>
      <c r="H287" s="48" t="s">
        <v>2343</v>
      </c>
      <c r="I287" s="43" t="s">
        <v>2344</v>
      </c>
      <c r="J287" s="22" t="s">
        <v>2345</v>
      </c>
      <c r="K287" s="22"/>
      <c r="L287" s="22"/>
      <c r="M287" s="32" t="s">
        <v>136</v>
      </c>
      <c r="N287" s="38" t="s">
        <v>2346</v>
      </c>
      <c r="O287" s="38"/>
      <c r="P287" s="25"/>
      <c r="Q287" s="26"/>
      <c r="R287" s="32" t="s">
        <v>634</v>
      </c>
      <c r="S287" s="32" t="s">
        <v>41</v>
      </c>
      <c r="T287" s="21"/>
      <c r="U287" s="28"/>
      <c r="V287" s="28"/>
      <c r="W287" s="29"/>
      <c r="X287" s="29"/>
      <c r="Y287" s="30"/>
      <c r="Z287" s="30"/>
      <c r="AA287" s="30"/>
      <c r="AB287" s="41"/>
      <c r="AC287" s="32"/>
      <c r="AD287" s="21"/>
      <c r="AE287" s="32"/>
      <c r="AF287" s="32"/>
      <c r="AG287" s="32"/>
      <c r="AH287" s="32"/>
      <c r="AI287" s="32"/>
      <c r="AJ287" s="32"/>
      <c r="AK287" s="32"/>
      <c r="AL287" s="32"/>
      <c r="AM287" s="32"/>
      <c r="AN287" s="32"/>
      <c r="AO287" s="32"/>
      <c r="AP287" s="32"/>
      <c r="AQ287" s="32"/>
    </row>
    <row r="288" spans="1:43" ht="15.75" customHeight="1">
      <c r="A288" s="441" t="s">
        <v>2347</v>
      </c>
      <c r="B288" s="14" t="s">
        <v>429</v>
      </c>
      <c r="C288" s="247" t="s">
        <v>170</v>
      </c>
      <c r="D288" s="232"/>
      <c r="E288" s="58"/>
      <c r="F288" s="16" t="s">
        <v>2348</v>
      </c>
      <c r="G288" s="32" t="s">
        <v>2349</v>
      </c>
      <c r="H288" s="48" t="s">
        <v>2350</v>
      </c>
      <c r="I288" s="43" t="s">
        <v>1441</v>
      </c>
      <c r="J288" s="22"/>
      <c r="K288" s="22"/>
      <c r="L288" s="22"/>
      <c r="M288" s="53" t="s">
        <v>1093</v>
      </c>
      <c r="N288" s="65" t="s">
        <v>2351</v>
      </c>
      <c r="O288" s="294"/>
      <c r="P288" s="124"/>
      <c r="Q288" s="121"/>
      <c r="R288" s="32" t="s">
        <v>634</v>
      </c>
      <c r="S288" s="32" t="s">
        <v>41</v>
      </c>
      <c r="T288" s="21"/>
      <c r="U288" s="28"/>
      <c r="V288" s="28"/>
      <c r="W288" s="29"/>
      <c r="X288" s="29"/>
      <c r="Y288" s="30"/>
      <c r="Z288" s="30"/>
      <c r="AA288" s="30"/>
      <c r="AB288" s="41"/>
      <c r="AC288" s="32"/>
      <c r="AD288" s="32"/>
      <c r="AE288" s="32"/>
      <c r="AF288" s="32"/>
      <c r="AG288" s="32"/>
      <c r="AH288" s="32"/>
      <c r="AI288" s="32"/>
      <c r="AJ288" s="32"/>
      <c r="AK288" s="32"/>
      <c r="AL288" s="32"/>
      <c r="AM288" s="32"/>
      <c r="AN288" s="32"/>
      <c r="AO288" s="32"/>
      <c r="AP288" s="32"/>
      <c r="AQ288" s="32"/>
    </row>
    <row r="289" spans="1:43" ht="15.75" customHeight="1">
      <c r="A289" s="441" t="s">
        <v>2352</v>
      </c>
      <c r="B289" s="32" t="s">
        <v>43</v>
      </c>
      <c r="C289" s="252" t="s">
        <v>170</v>
      </c>
      <c r="D289" s="232"/>
      <c r="E289" s="58"/>
      <c r="F289" s="16" t="s">
        <v>2353</v>
      </c>
      <c r="G289" s="32"/>
      <c r="H289" s="95" t="s">
        <v>2354</v>
      </c>
      <c r="I289" s="43" t="s">
        <v>2034</v>
      </c>
      <c r="J289" s="22"/>
      <c r="K289" s="22"/>
      <c r="L289" s="22"/>
      <c r="M289" s="17" t="s">
        <v>2355</v>
      </c>
      <c r="N289" s="38" t="s">
        <v>2356</v>
      </c>
      <c r="O289" s="38"/>
      <c r="P289" s="74" t="s">
        <v>2357</v>
      </c>
      <c r="Q289" s="56" t="s">
        <v>2358</v>
      </c>
      <c r="R289" s="21" t="s">
        <v>79</v>
      </c>
      <c r="S289" s="32" t="s">
        <v>383</v>
      </c>
      <c r="T289" s="88"/>
      <c r="U289" s="45" t="s">
        <v>2359</v>
      </c>
      <c r="V289" s="45" t="s">
        <v>2360</v>
      </c>
      <c r="W289" s="29"/>
      <c r="X289" s="60" t="s">
        <v>2361</v>
      </c>
      <c r="Y289" s="30" t="s">
        <v>2362</v>
      </c>
      <c r="Z289" s="30"/>
      <c r="AA289" s="30"/>
      <c r="AB289" s="41"/>
      <c r="AC289" s="32" t="s">
        <v>2363</v>
      </c>
      <c r="AD289" s="32" t="s">
        <v>2364</v>
      </c>
      <c r="AE289" s="32"/>
      <c r="AF289" s="32"/>
      <c r="AG289" s="32"/>
      <c r="AH289" s="32"/>
      <c r="AI289" s="32"/>
      <c r="AJ289" s="32"/>
      <c r="AK289" s="32"/>
      <c r="AL289" s="32"/>
      <c r="AM289" s="32"/>
      <c r="AN289" s="32"/>
      <c r="AO289" s="32"/>
      <c r="AP289" s="32"/>
      <c r="AQ289" s="32"/>
    </row>
    <row r="290" spans="1:43" ht="15.75" customHeight="1">
      <c r="A290" s="441" t="s">
        <v>2365</v>
      </c>
      <c r="B290" s="14" t="s">
        <v>996</v>
      </c>
      <c r="C290" s="247" t="s">
        <v>170</v>
      </c>
      <c r="D290" s="232"/>
      <c r="E290" s="58"/>
      <c r="F290" s="32" t="s">
        <v>2271</v>
      </c>
      <c r="G290" s="32"/>
      <c r="H290" s="95" t="s">
        <v>2366</v>
      </c>
      <c r="I290" s="43" t="s">
        <v>2288</v>
      </c>
      <c r="J290" s="82"/>
      <c r="K290" s="82"/>
      <c r="L290" s="22"/>
      <c r="M290" s="292" t="s">
        <v>3938</v>
      </c>
      <c r="N290" s="54" t="s">
        <v>2367</v>
      </c>
      <c r="O290" s="54"/>
      <c r="P290" s="112" t="s">
        <v>1891</v>
      </c>
      <c r="Q290" s="56" t="s">
        <v>1892</v>
      </c>
      <c r="R290" s="32" t="s">
        <v>634</v>
      </c>
      <c r="S290" s="32" t="s">
        <v>41</v>
      </c>
      <c r="T290" s="21"/>
      <c r="U290" s="28"/>
      <c r="V290" s="28"/>
      <c r="W290" s="29"/>
      <c r="X290" s="29"/>
      <c r="Y290" s="30"/>
      <c r="Z290" s="30"/>
      <c r="AA290" s="30"/>
      <c r="AB290" s="41"/>
      <c r="AC290" s="32"/>
      <c r="AD290" s="32"/>
      <c r="AE290" s="32"/>
      <c r="AF290" s="32"/>
      <c r="AG290" s="32"/>
      <c r="AH290" s="32"/>
      <c r="AI290" s="32"/>
      <c r="AJ290" s="32"/>
      <c r="AK290" s="32"/>
      <c r="AL290" s="32"/>
      <c r="AM290" s="32"/>
      <c r="AN290" s="32"/>
      <c r="AO290" s="32"/>
      <c r="AP290" s="32"/>
      <c r="AQ290" s="32"/>
    </row>
    <row r="291" spans="1:43" ht="15.75" customHeight="1">
      <c r="A291" s="441" t="s">
        <v>2368</v>
      </c>
      <c r="B291" s="32" t="s">
        <v>43</v>
      </c>
      <c r="C291" s="247" t="s">
        <v>170</v>
      </c>
      <c r="D291" s="232"/>
      <c r="E291" s="58"/>
      <c r="F291" s="47" t="s">
        <v>2369</v>
      </c>
      <c r="G291" s="32" t="s">
        <v>2370</v>
      </c>
      <c r="H291" s="32" t="s">
        <v>2371</v>
      </c>
      <c r="I291" s="43" t="s">
        <v>443</v>
      </c>
      <c r="J291" s="35"/>
      <c r="K291" s="22"/>
      <c r="L291" s="22" t="s">
        <v>2372</v>
      </c>
      <c r="M291" s="36" t="s">
        <v>2373</v>
      </c>
      <c r="N291" s="54" t="s">
        <v>2374</v>
      </c>
      <c r="O291" s="54"/>
      <c r="P291" s="55"/>
      <c r="Q291" s="56"/>
      <c r="R291" s="32" t="s">
        <v>634</v>
      </c>
      <c r="S291" s="32" t="s">
        <v>41</v>
      </c>
      <c r="T291" s="21"/>
      <c r="U291" s="28"/>
      <c r="V291" s="28"/>
      <c r="W291" s="29"/>
      <c r="X291" s="29"/>
      <c r="Y291" s="30"/>
      <c r="Z291" s="30"/>
      <c r="AA291" s="30"/>
      <c r="AB291" s="41"/>
      <c r="AC291" s="32"/>
      <c r="AD291" s="32"/>
      <c r="AE291" s="32"/>
      <c r="AF291" s="32"/>
      <c r="AG291" s="32"/>
      <c r="AH291" s="32"/>
      <c r="AI291" s="32"/>
      <c r="AJ291" s="32"/>
      <c r="AK291" s="32"/>
      <c r="AL291" s="32"/>
      <c r="AM291" s="32"/>
      <c r="AN291" s="32"/>
      <c r="AO291" s="32"/>
      <c r="AP291" s="32"/>
      <c r="AQ291" s="32"/>
    </row>
    <row r="292" spans="1:43" ht="15.75" customHeight="1">
      <c r="A292" s="441" t="s">
        <v>2375</v>
      </c>
      <c r="B292" s="14" t="s">
        <v>429</v>
      </c>
      <c r="C292" s="247" t="s">
        <v>170</v>
      </c>
      <c r="D292" s="232"/>
      <c r="E292" s="58"/>
      <c r="F292" s="16" t="s">
        <v>2376</v>
      </c>
      <c r="G292" s="32"/>
      <c r="H292" s="95" t="s">
        <v>2377</v>
      </c>
      <c r="I292" s="43" t="s">
        <v>2378</v>
      </c>
      <c r="J292" s="22"/>
      <c r="K292" s="22"/>
      <c r="L292" s="22" t="s">
        <v>2379</v>
      </c>
      <c r="M292" s="36" t="s">
        <v>2380</v>
      </c>
      <c r="N292" s="54" t="s">
        <v>2381</v>
      </c>
      <c r="O292" s="54"/>
      <c r="P292" s="55"/>
      <c r="Q292" s="56"/>
      <c r="R292" s="101" t="s">
        <v>40</v>
      </c>
      <c r="S292" s="32" t="s">
        <v>714</v>
      </c>
      <c r="T292" s="21"/>
      <c r="U292" s="28"/>
      <c r="V292" s="28"/>
      <c r="W292" s="29" t="s">
        <v>2382</v>
      </c>
      <c r="X292" s="29" t="s">
        <v>2383</v>
      </c>
      <c r="Y292" s="30" t="s">
        <v>2384</v>
      </c>
      <c r="Z292" s="30"/>
      <c r="AA292" s="30"/>
      <c r="AB292" s="161"/>
      <c r="AC292" s="144" t="s">
        <v>2385</v>
      </c>
      <c r="AD292" s="32"/>
      <c r="AE292" s="32"/>
      <c r="AF292" s="32"/>
      <c r="AG292" s="32"/>
      <c r="AH292" s="32"/>
      <c r="AI292" s="32"/>
      <c r="AJ292" s="32"/>
      <c r="AK292" s="32"/>
      <c r="AL292" s="32"/>
      <c r="AM292" s="32"/>
      <c r="AN292" s="32"/>
      <c r="AO292" s="32"/>
      <c r="AP292" s="32"/>
      <c r="AQ292" s="32"/>
    </row>
    <row r="293" spans="1:43" ht="15.75" customHeight="1">
      <c r="A293" s="441" t="s">
        <v>2386</v>
      </c>
      <c r="B293" s="32" t="s">
        <v>43</v>
      </c>
      <c r="C293" s="247" t="s">
        <v>170</v>
      </c>
      <c r="D293" s="232"/>
      <c r="E293" s="58"/>
      <c r="F293" s="47" t="s">
        <v>2387</v>
      </c>
      <c r="G293" s="32"/>
      <c r="H293" s="48" t="s">
        <v>2388</v>
      </c>
      <c r="I293" s="43" t="s">
        <v>2389</v>
      </c>
      <c r="J293" s="82" t="s">
        <v>2092</v>
      </c>
      <c r="K293" s="82"/>
      <c r="L293" s="82"/>
      <c r="M293" s="113" t="s">
        <v>2390</v>
      </c>
      <c r="N293" s="54" t="s">
        <v>2391</v>
      </c>
      <c r="O293" s="394" t="s">
        <v>798</v>
      </c>
      <c r="P293" s="112"/>
      <c r="Q293" s="56" t="s">
        <v>799</v>
      </c>
      <c r="R293" s="32" t="s">
        <v>634</v>
      </c>
      <c r="S293" s="32" t="s">
        <v>41</v>
      </c>
      <c r="T293" s="21"/>
      <c r="U293" s="28"/>
      <c r="V293" s="28"/>
      <c r="W293" s="72"/>
      <c r="X293" s="72"/>
      <c r="Y293" s="420" t="s">
        <v>2392</v>
      </c>
      <c r="Z293" s="30" t="s">
        <v>2393</v>
      </c>
      <c r="AA293" s="30" t="s">
        <v>2394</v>
      </c>
      <c r="AB293" s="41"/>
      <c r="AC293" s="32"/>
      <c r="AD293" s="32"/>
      <c r="AE293" s="32"/>
      <c r="AF293" s="32"/>
      <c r="AG293" s="32"/>
      <c r="AH293" s="32"/>
      <c r="AI293" s="32"/>
      <c r="AJ293" s="32"/>
      <c r="AK293" s="32"/>
      <c r="AL293" s="32"/>
      <c r="AM293" s="32"/>
      <c r="AN293" s="32"/>
      <c r="AO293" s="32"/>
      <c r="AP293" s="32"/>
      <c r="AQ293" s="32"/>
    </row>
    <row r="294" spans="1:43" ht="15.75" customHeight="1">
      <c r="A294" s="441" t="s">
        <v>2395</v>
      </c>
      <c r="B294" s="33" t="s">
        <v>996</v>
      </c>
      <c r="C294" s="247" t="s">
        <v>170</v>
      </c>
      <c r="D294" s="232"/>
      <c r="E294" s="58"/>
      <c r="F294" s="371" t="s">
        <v>2396</v>
      </c>
      <c r="G294" s="32" t="s">
        <v>2397</v>
      </c>
      <c r="H294" s="95" t="s">
        <v>2240</v>
      </c>
      <c r="I294" s="43" t="s">
        <v>2398</v>
      </c>
      <c r="J294" s="82"/>
      <c r="K294" s="82"/>
      <c r="L294" s="82"/>
      <c r="M294" s="33" t="s">
        <v>3939</v>
      </c>
      <c r="N294" s="89" t="s">
        <v>3984</v>
      </c>
      <c r="O294" s="393"/>
      <c r="P294" s="112" t="s">
        <v>1891</v>
      </c>
      <c r="Q294" s="56" t="s">
        <v>1892</v>
      </c>
      <c r="R294" s="32" t="s">
        <v>382</v>
      </c>
      <c r="S294" s="32" t="s">
        <v>41</v>
      </c>
      <c r="T294" s="21"/>
      <c r="U294" s="290" t="s">
        <v>1891</v>
      </c>
      <c r="V294" s="290" t="s">
        <v>1892</v>
      </c>
      <c r="W294" s="29"/>
      <c r="X294" s="29"/>
      <c r="Y294" s="30" t="s">
        <v>3945</v>
      </c>
      <c r="Z294" s="30"/>
      <c r="AA294" s="30"/>
      <c r="AB294" s="41"/>
      <c r="AC294" s="32" t="s">
        <v>1894</v>
      </c>
      <c r="AD294" s="32"/>
      <c r="AE294" s="32"/>
      <c r="AF294" s="32"/>
      <c r="AG294" s="32"/>
      <c r="AH294" s="32"/>
      <c r="AI294" s="32"/>
      <c r="AJ294" s="32"/>
      <c r="AK294" s="32"/>
      <c r="AL294" s="32"/>
      <c r="AM294" s="32"/>
      <c r="AN294" s="32"/>
      <c r="AO294" s="32"/>
      <c r="AP294" s="32"/>
      <c r="AQ294" s="32"/>
    </row>
    <row r="295" spans="1:43" ht="15.75" customHeight="1">
      <c r="A295" s="441" t="s">
        <v>3835</v>
      </c>
      <c r="B295" s="14" t="s">
        <v>429</v>
      </c>
      <c r="C295" s="246" t="s">
        <v>2399</v>
      </c>
      <c r="D295" s="232"/>
      <c r="E295" s="58"/>
      <c r="F295" s="47" t="s">
        <v>2400</v>
      </c>
      <c r="G295" s="32"/>
      <c r="H295" s="33" t="s">
        <v>2401</v>
      </c>
      <c r="I295" s="43" t="s">
        <v>2034</v>
      </c>
      <c r="J295" s="35"/>
      <c r="K295" s="22"/>
      <c r="L295" s="22" t="s">
        <v>2402</v>
      </c>
      <c r="M295" s="126" t="s">
        <v>2403</v>
      </c>
      <c r="N295" s="38" t="s">
        <v>2404</v>
      </c>
      <c r="O295" s="38" t="s">
        <v>106</v>
      </c>
      <c r="P295" s="74" t="s">
        <v>2405</v>
      </c>
      <c r="Q295" s="26" t="s">
        <v>2406</v>
      </c>
      <c r="R295" s="32" t="s">
        <v>634</v>
      </c>
      <c r="S295" s="32" t="s">
        <v>41</v>
      </c>
      <c r="T295" s="84"/>
      <c r="U295" s="85" t="s">
        <v>187</v>
      </c>
      <c r="V295" s="140" t="s">
        <v>188</v>
      </c>
      <c r="W295" s="29"/>
      <c r="X295" s="29"/>
      <c r="Y295" s="30" t="s">
        <v>2407</v>
      </c>
      <c r="Z295" s="30"/>
      <c r="AA295" s="30"/>
      <c r="AB295" s="41"/>
      <c r="AC295" s="32"/>
      <c r="AD295" s="32"/>
      <c r="AE295" s="32"/>
      <c r="AF295" s="32"/>
      <c r="AG295" s="32"/>
      <c r="AH295" s="32"/>
      <c r="AI295" s="32"/>
      <c r="AJ295" s="32"/>
      <c r="AK295" s="32"/>
      <c r="AL295" s="32"/>
      <c r="AM295" s="32"/>
      <c r="AN295" s="32"/>
      <c r="AO295" s="32"/>
      <c r="AP295" s="32"/>
      <c r="AQ295" s="32"/>
    </row>
    <row r="296" spans="1:43" ht="15.75" customHeight="1">
      <c r="A296" s="441" t="s">
        <v>2408</v>
      </c>
      <c r="B296" s="14" t="s">
        <v>429</v>
      </c>
      <c r="C296" s="247" t="s">
        <v>170</v>
      </c>
      <c r="D296" s="232"/>
      <c r="E296" s="58"/>
      <c r="F296" s="47" t="s">
        <v>2409</v>
      </c>
      <c r="G296" s="32" t="s">
        <v>2410</v>
      </c>
      <c r="H296" s="33" t="s">
        <v>2411</v>
      </c>
      <c r="I296" s="43" t="s">
        <v>2412</v>
      </c>
      <c r="J296" s="22" t="s">
        <v>2413</v>
      </c>
      <c r="K296" s="22"/>
      <c r="L296" s="22"/>
      <c r="M296" s="39" t="s">
        <v>136</v>
      </c>
      <c r="N296" s="38" t="s">
        <v>2414</v>
      </c>
      <c r="O296" s="38"/>
      <c r="P296" s="25"/>
      <c r="Q296" s="26"/>
      <c r="R296" s="32" t="s">
        <v>634</v>
      </c>
      <c r="S296" s="32" t="s">
        <v>41</v>
      </c>
      <c r="T296" s="182"/>
      <c r="U296" s="183" t="s">
        <v>2415</v>
      </c>
      <c r="V296" s="28" t="s">
        <v>2416</v>
      </c>
      <c r="W296" s="29" t="s">
        <v>2223</v>
      </c>
      <c r="X296" s="29" t="s">
        <v>2224</v>
      </c>
      <c r="Y296" s="30" t="s">
        <v>2417</v>
      </c>
      <c r="Z296" s="30"/>
      <c r="AA296" s="30"/>
      <c r="AB296" s="46" t="s">
        <v>2418</v>
      </c>
      <c r="AC296" s="32"/>
      <c r="AD296" s="21"/>
      <c r="AE296" s="32"/>
      <c r="AF296" s="32"/>
      <c r="AG296" s="32"/>
      <c r="AH296" s="32"/>
      <c r="AI296" s="32"/>
      <c r="AJ296" s="32"/>
      <c r="AK296" s="32"/>
      <c r="AL296" s="32"/>
      <c r="AM296" s="32"/>
      <c r="AN296" s="32"/>
      <c r="AO296" s="32"/>
      <c r="AP296" s="32"/>
      <c r="AQ296" s="32"/>
    </row>
    <row r="297" spans="1:43" ht="15.75" customHeight="1">
      <c r="A297" s="441" t="s">
        <v>2419</v>
      </c>
      <c r="B297" s="14" t="s">
        <v>429</v>
      </c>
      <c r="C297" s="247" t="s">
        <v>170</v>
      </c>
      <c r="D297" s="232"/>
      <c r="E297" s="58"/>
      <c r="F297" s="47" t="s">
        <v>2420</v>
      </c>
      <c r="G297" s="32" t="s">
        <v>2421</v>
      </c>
      <c r="H297" s="32" t="s">
        <v>2422</v>
      </c>
      <c r="I297" s="43" t="s">
        <v>2423</v>
      </c>
      <c r="J297" s="82" t="s">
        <v>2424</v>
      </c>
      <c r="K297" s="82"/>
      <c r="L297" s="22"/>
      <c r="M297" s="32" t="s">
        <v>136</v>
      </c>
      <c r="N297" s="38" t="s">
        <v>2425</v>
      </c>
      <c r="O297" s="38"/>
      <c r="P297" s="25"/>
      <c r="Q297" s="26"/>
      <c r="R297" s="32" t="s">
        <v>634</v>
      </c>
      <c r="S297" s="32" t="s">
        <v>41</v>
      </c>
      <c r="T297" s="21"/>
      <c r="U297" s="28"/>
      <c r="V297" s="28"/>
      <c r="W297" s="29"/>
      <c r="X297" s="29"/>
      <c r="Y297" s="30"/>
      <c r="Z297" s="30"/>
      <c r="AA297" s="30"/>
      <c r="AB297" s="41"/>
      <c r="AC297" s="32"/>
      <c r="AD297" s="21"/>
      <c r="AE297" s="32"/>
      <c r="AF297" s="32"/>
      <c r="AG297" s="32"/>
      <c r="AH297" s="32"/>
      <c r="AI297" s="32"/>
      <c r="AJ297" s="32"/>
      <c r="AK297" s="32"/>
      <c r="AL297" s="32"/>
      <c r="AM297" s="32"/>
      <c r="AN297" s="32"/>
      <c r="AO297" s="32"/>
      <c r="AP297" s="32"/>
      <c r="AQ297" s="32"/>
    </row>
    <row r="298" spans="1:43" ht="15.75" customHeight="1">
      <c r="A298" s="441" t="s">
        <v>2426</v>
      </c>
      <c r="B298" s="14" t="s">
        <v>429</v>
      </c>
      <c r="C298" s="247" t="s">
        <v>170</v>
      </c>
      <c r="D298" s="232"/>
      <c r="E298" s="58"/>
      <c r="F298" s="16" t="s">
        <v>2427</v>
      </c>
      <c r="G298" s="32"/>
      <c r="H298" s="32" t="s">
        <v>2428</v>
      </c>
      <c r="I298" s="43" t="s">
        <v>2164</v>
      </c>
      <c r="J298" s="98"/>
      <c r="K298" s="103"/>
      <c r="L298" s="103" t="s">
        <v>2429</v>
      </c>
      <c r="M298" s="53" t="s">
        <v>2430</v>
      </c>
      <c r="N298" s="89" t="s">
        <v>2166</v>
      </c>
      <c r="O298" s="393"/>
      <c r="P298" s="70"/>
      <c r="Q298" s="91"/>
      <c r="R298" s="101" t="s">
        <v>40</v>
      </c>
      <c r="S298" s="32" t="s">
        <v>41</v>
      </c>
      <c r="T298" s="21"/>
      <c r="U298" s="28"/>
      <c r="V298" s="28"/>
      <c r="W298" s="29"/>
      <c r="X298" s="29"/>
      <c r="Y298" s="30"/>
      <c r="Z298" s="30"/>
      <c r="AA298" s="30"/>
      <c r="AB298" s="41"/>
      <c r="AC298" s="32"/>
      <c r="AD298" s="21"/>
      <c r="AE298" s="32"/>
      <c r="AF298" s="32"/>
      <c r="AG298" s="32"/>
      <c r="AH298" s="32"/>
      <c r="AI298" s="32"/>
      <c r="AJ298" s="32"/>
      <c r="AK298" s="32"/>
      <c r="AL298" s="32"/>
      <c r="AM298" s="32"/>
      <c r="AN298" s="32"/>
      <c r="AO298" s="32"/>
      <c r="AP298" s="32"/>
      <c r="AQ298" s="32"/>
    </row>
    <row r="299" spans="1:43" ht="15.75" customHeight="1">
      <c r="A299" s="441" t="s">
        <v>2431</v>
      </c>
      <c r="B299" s="14" t="s">
        <v>429</v>
      </c>
      <c r="C299" s="247" t="s">
        <v>170</v>
      </c>
      <c r="D299" s="232"/>
      <c r="E299" s="58"/>
      <c r="F299" s="47" t="s">
        <v>2432</v>
      </c>
      <c r="G299" s="32" t="s">
        <v>2433</v>
      </c>
      <c r="H299" s="33" t="s">
        <v>2434</v>
      </c>
      <c r="I299" s="43" t="s">
        <v>2288</v>
      </c>
      <c r="J299" s="22"/>
      <c r="K299" s="22"/>
      <c r="L299" s="22"/>
      <c r="M299" s="292" t="s">
        <v>3938</v>
      </c>
      <c r="N299" s="89" t="s">
        <v>2025</v>
      </c>
      <c r="O299" s="89"/>
      <c r="P299" s="112" t="s">
        <v>1891</v>
      </c>
      <c r="Q299" s="56" t="s">
        <v>1892</v>
      </c>
      <c r="R299" s="115" t="s">
        <v>382</v>
      </c>
      <c r="S299" s="32" t="s">
        <v>41</v>
      </c>
      <c r="T299" s="21"/>
      <c r="U299" s="290" t="s">
        <v>1891</v>
      </c>
      <c r="V299" s="290" t="s">
        <v>1892</v>
      </c>
      <c r="W299" s="29"/>
      <c r="X299" s="29"/>
      <c r="Y299" s="30" t="s">
        <v>2435</v>
      </c>
      <c r="Z299" s="30"/>
      <c r="AA299" s="30"/>
      <c r="AB299" s="41"/>
      <c r="AC299" s="32" t="s">
        <v>1894</v>
      </c>
      <c r="AD299" s="21"/>
      <c r="AE299" s="32"/>
      <c r="AF299" s="32"/>
      <c r="AG299" s="32"/>
      <c r="AH299" s="32"/>
      <c r="AI299" s="32"/>
      <c r="AJ299" s="32"/>
      <c r="AK299" s="32"/>
      <c r="AL299" s="32"/>
      <c r="AM299" s="32"/>
      <c r="AN299" s="32"/>
      <c r="AO299" s="32"/>
      <c r="AP299" s="32"/>
      <c r="AQ299" s="32"/>
    </row>
    <row r="300" spans="1:43" ht="15.75" customHeight="1">
      <c r="A300" s="441" t="s">
        <v>2436</v>
      </c>
      <c r="B300" s="33" t="s">
        <v>429</v>
      </c>
      <c r="C300" s="248" t="s">
        <v>142</v>
      </c>
      <c r="D300" s="232"/>
      <c r="E300" s="58"/>
      <c r="F300" s="16" t="s">
        <v>2437</v>
      </c>
      <c r="G300" s="32"/>
      <c r="H300" s="32" t="s">
        <v>2438</v>
      </c>
      <c r="I300" s="43" t="s">
        <v>2439</v>
      </c>
      <c r="J300" s="22"/>
      <c r="K300" s="22"/>
      <c r="L300" s="22" t="s">
        <v>1276</v>
      </c>
      <c r="M300" s="135" t="s">
        <v>649</v>
      </c>
      <c r="N300" s="38" t="s">
        <v>2440</v>
      </c>
      <c r="O300" s="38" t="s">
        <v>983</v>
      </c>
      <c r="P300" s="25"/>
      <c r="Q300" s="56" t="s">
        <v>984</v>
      </c>
      <c r="R300" s="32" t="s">
        <v>517</v>
      </c>
      <c r="S300" s="32" t="s">
        <v>41</v>
      </c>
      <c r="T300" s="21"/>
      <c r="U300" s="28"/>
      <c r="V300" s="28"/>
      <c r="W300" s="29"/>
      <c r="X300" s="29"/>
      <c r="Y300" s="61" t="s">
        <v>2441</v>
      </c>
      <c r="Z300" s="30" t="s">
        <v>2442</v>
      </c>
      <c r="AA300" s="30" t="s">
        <v>2443</v>
      </c>
      <c r="AB300" s="41"/>
      <c r="AC300" s="32"/>
      <c r="AD300" s="21"/>
      <c r="AE300" s="32"/>
      <c r="AF300" s="32"/>
      <c r="AG300" s="32"/>
      <c r="AH300" s="32"/>
      <c r="AI300" s="32"/>
      <c r="AJ300" s="32"/>
      <c r="AK300" s="32"/>
      <c r="AL300" s="32"/>
      <c r="AM300" s="32"/>
      <c r="AN300" s="32"/>
      <c r="AO300" s="32"/>
      <c r="AP300" s="32"/>
      <c r="AQ300" s="32"/>
    </row>
    <row r="301" spans="1:43" ht="15.75" customHeight="1">
      <c r="A301" s="441" t="s">
        <v>2444</v>
      </c>
      <c r="B301" s="33" t="s">
        <v>429</v>
      </c>
      <c r="C301" s="247" t="s">
        <v>170</v>
      </c>
      <c r="D301" s="232"/>
      <c r="E301" s="58"/>
      <c r="F301" s="47" t="s">
        <v>2445</v>
      </c>
      <c r="G301" s="32" t="s">
        <v>2446</v>
      </c>
      <c r="H301" s="33" t="s">
        <v>2447</v>
      </c>
      <c r="I301" s="43" t="s">
        <v>2448</v>
      </c>
      <c r="J301" s="22"/>
      <c r="K301" s="22"/>
      <c r="L301" s="22" t="s">
        <v>1276</v>
      </c>
      <c r="M301" s="53" t="s">
        <v>2449</v>
      </c>
      <c r="N301" s="38" t="s">
        <v>3985</v>
      </c>
      <c r="O301" s="38"/>
      <c r="P301" s="25"/>
      <c r="Q301" s="56"/>
      <c r="R301" s="115" t="s">
        <v>382</v>
      </c>
      <c r="S301" s="32" t="s">
        <v>41</v>
      </c>
      <c r="T301" s="21"/>
      <c r="U301" s="28"/>
      <c r="V301" s="28"/>
      <c r="W301" s="29"/>
      <c r="X301" s="29"/>
      <c r="Y301" s="30"/>
      <c r="Z301" s="30"/>
      <c r="AA301" s="30"/>
      <c r="AB301" s="41"/>
      <c r="AC301" s="32"/>
      <c r="AD301" s="21"/>
      <c r="AE301" s="32"/>
      <c r="AF301" s="32"/>
      <c r="AG301" s="32"/>
      <c r="AH301" s="32"/>
      <c r="AI301" s="32"/>
      <c r="AJ301" s="32"/>
      <c r="AK301" s="32"/>
      <c r="AL301" s="32"/>
      <c r="AM301" s="32"/>
      <c r="AN301" s="32"/>
      <c r="AO301" s="32"/>
      <c r="AP301" s="32"/>
      <c r="AQ301" s="32"/>
    </row>
    <row r="302" spans="1:43" ht="15.75" customHeight="1">
      <c r="A302" s="455" t="s">
        <v>2450</v>
      </c>
      <c r="B302" s="33" t="s">
        <v>429</v>
      </c>
      <c r="C302" s="252" t="s">
        <v>170</v>
      </c>
      <c r="D302" s="232"/>
      <c r="E302" s="58"/>
      <c r="F302" s="16" t="s">
        <v>2451</v>
      </c>
      <c r="G302" s="32"/>
      <c r="H302" s="33" t="s">
        <v>2452</v>
      </c>
      <c r="I302" s="43" t="s">
        <v>2453</v>
      </c>
      <c r="J302" s="22"/>
      <c r="K302" s="22"/>
      <c r="L302" s="22"/>
      <c r="M302" s="33" t="s">
        <v>2454</v>
      </c>
      <c r="N302" s="38" t="s">
        <v>2455</v>
      </c>
      <c r="O302" s="38" t="s">
        <v>730</v>
      </c>
      <c r="P302" s="25"/>
      <c r="Q302" s="56" t="s">
        <v>1830</v>
      </c>
      <c r="R302" s="32" t="s">
        <v>517</v>
      </c>
      <c r="S302" s="32" t="s">
        <v>41</v>
      </c>
      <c r="T302" s="21"/>
      <c r="U302" s="28"/>
      <c r="V302" s="28"/>
      <c r="W302" s="29"/>
      <c r="X302" s="29"/>
      <c r="Y302" s="30"/>
      <c r="Z302" s="30" t="s">
        <v>2456</v>
      </c>
      <c r="AA302" s="30" t="s">
        <v>2457</v>
      </c>
      <c r="AB302" s="41"/>
      <c r="AC302" s="32"/>
      <c r="AD302" s="21"/>
      <c r="AE302" s="32"/>
      <c r="AF302" s="32"/>
      <c r="AG302" s="32"/>
      <c r="AH302" s="32"/>
      <c r="AI302" s="32"/>
      <c r="AJ302" s="32"/>
      <c r="AK302" s="32"/>
      <c r="AL302" s="32"/>
      <c r="AM302" s="32"/>
      <c r="AN302" s="32"/>
      <c r="AO302" s="32"/>
      <c r="AP302" s="32"/>
      <c r="AQ302" s="32"/>
    </row>
    <row r="303" spans="1:43" ht="15.75" customHeight="1">
      <c r="A303" s="458" t="s">
        <v>2458</v>
      </c>
      <c r="B303" s="33" t="s">
        <v>429</v>
      </c>
      <c r="C303" s="252" t="s">
        <v>170</v>
      </c>
      <c r="D303" s="232"/>
      <c r="E303" s="58"/>
      <c r="F303" s="32" t="s">
        <v>2459</v>
      </c>
      <c r="G303" s="32"/>
      <c r="H303" s="32" t="s">
        <v>2460</v>
      </c>
      <c r="I303" s="185" t="s">
        <v>2461</v>
      </c>
      <c r="J303" s="22"/>
      <c r="K303" s="22"/>
      <c r="L303" s="22"/>
      <c r="M303" s="113" t="s">
        <v>649</v>
      </c>
      <c r="N303" s="38" t="s">
        <v>2462</v>
      </c>
      <c r="O303" s="38"/>
      <c r="P303" s="25"/>
      <c r="Q303" s="403"/>
      <c r="R303" s="101" t="s">
        <v>537</v>
      </c>
      <c r="S303" s="77" t="s">
        <v>41</v>
      </c>
      <c r="T303" s="21" t="s">
        <v>2463</v>
      </c>
      <c r="U303" s="28"/>
      <c r="V303" s="28"/>
      <c r="W303" s="29"/>
      <c r="X303" s="29"/>
      <c r="Y303" s="30"/>
      <c r="Z303" s="30"/>
      <c r="AA303" s="30"/>
      <c r="AB303" s="41"/>
      <c r="AC303" s="32"/>
      <c r="AD303" s="21"/>
      <c r="AE303" s="32"/>
      <c r="AF303" s="32"/>
      <c r="AG303" s="32"/>
      <c r="AH303" s="32"/>
      <c r="AI303" s="32"/>
      <c r="AJ303" s="32"/>
      <c r="AK303" s="32"/>
      <c r="AL303" s="32"/>
      <c r="AM303" s="32"/>
      <c r="AN303" s="32"/>
      <c r="AO303" s="32"/>
      <c r="AP303" s="32"/>
      <c r="AQ303" s="32"/>
    </row>
    <row r="304" spans="1:43" ht="15.75" customHeight="1">
      <c r="A304" s="458" t="s">
        <v>2464</v>
      </c>
      <c r="B304" s="33" t="s">
        <v>429</v>
      </c>
      <c r="C304" s="247" t="s">
        <v>170</v>
      </c>
      <c r="D304" s="232"/>
      <c r="E304" s="58"/>
      <c r="F304" s="32" t="s">
        <v>2459</v>
      </c>
      <c r="G304" s="32"/>
      <c r="H304" s="32" t="s">
        <v>2465</v>
      </c>
      <c r="I304" s="185" t="s">
        <v>2466</v>
      </c>
      <c r="J304" s="22"/>
      <c r="K304" s="22"/>
      <c r="L304" s="22"/>
      <c r="M304" s="77" t="s">
        <v>2467</v>
      </c>
      <c r="N304" s="38" t="s">
        <v>2468</v>
      </c>
      <c r="O304" s="38"/>
      <c r="P304" s="25"/>
      <c r="Q304" s="56"/>
      <c r="R304" s="115" t="s">
        <v>382</v>
      </c>
      <c r="S304" s="77" t="s">
        <v>41</v>
      </c>
      <c r="T304" s="21" t="s">
        <v>2469</v>
      </c>
      <c r="U304" s="28"/>
      <c r="V304" s="28"/>
      <c r="W304" s="29"/>
      <c r="X304" s="29"/>
      <c r="Y304" s="30"/>
      <c r="Z304" s="30"/>
      <c r="AA304" s="30"/>
      <c r="AB304" s="41"/>
      <c r="AC304" s="32"/>
      <c r="AD304" s="21"/>
      <c r="AE304" s="32"/>
      <c r="AF304" s="32"/>
      <c r="AG304" s="32"/>
      <c r="AH304" s="32"/>
      <c r="AI304" s="32"/>
      <c r="AJ304" s="32"/>
      <c r="AK304" s="32"/>
      <c r="AL304" s="32"/>
      <c r="AM304" s="32"/>
      <c r="AN304" s="32"/>
      <c r="AO304" s="32"/>
      <c r="AP304" s="32"/>
      <c r="AQ304" s="32"/>
    </row>
    <row r="305" spans="1:43" ht="15.75" customHeight="1">
      <c r="A305" s="458" t="s">
        <v>2470</v>
      </c>
      <c r="B305" s="33" t="s">
        <v>429</v>
      </c>
      <c r="C305" s="261" t="s">
        <v>2470</v>
      </c>
      <c r="D305" s="232"/>
      <c r="E305" s="58"/>
      <c r="F305" s="47" t="s">
        <v>2471</v>
      </c>
      <c r="G305" s="32" t="s">
        <v>2472</v>
      </c>
      <c r="H305" s="33" t="s">
        <v>2473</v>
      </c>
      <c r="I305" s="185" t="s">
        <v>2474</v>
      </c>
      <c r="J305" s="82" t="s">
        <v>1994</v>
      </c>
      <c r="K305" s="138" t="s">
        <v>2475</v>
      </c>
      <c r="L305" s="22"/>
      <c r="M305" s="148" t="s">
        <v>2476</v>
      </c>
      <c r="N305" s="65" t="s">
        <v>2477</v>
      </c>
      <c r="O305" s="38"/>
      <c r="P305" s="25"/>
      <c r="Q305" s="56"/>
      <c r="R305" s="99" t="s">
        <v>1095</v>
      </c>
      <c r="S305" s="77" t="s">
        <v>41</v>
      </c>
      <c r="T305" s="104"/>
      <c r="U305" s="105"/>
      <c r="V305" s="105"/>
      <c r="W305" s="29"/>
      <c r="X305" s="29"/>
      <c r="Y305" s="61"/>
      <c r="Z305" s="30"/>
      <c r="AA305" s="30"/>
      <c r="AB305" s="41"/>
      <c r="AC305" s="32"/>
      <c r="AD305" s="21"/>
      <c r="AE305" s="32"/>
      <c r="AF305" s="32"/>
      <c r="AG305" s="32"/>
      <c r="AH305" s="32"/>
      <c r="AI305" s="32"/>
      <c r="AJ305" s="32"/>
      <c r="AK305" s="32"/>
      <c r="AL305" s="32"/>
      <c r="AM305" s="32"/>
      <c r="AN305" s="32"/>
      <c r="AO305" s="32"/>
      <c r="AP305" s="32"/>
      <c r="AQ305" s="32"/>
    </row>
    <row r="306" spans="1:43" ht="15.75" customHeight="1">
      <c r="A306" s="458" t="s">
        <v>3834</v>
      </c>
      <c r="B306" s="33" t="s">
        <v>429</v>
      </c>
      <c r="C306" s="246" t="s">
        <v>2478</v>
      </c>
      <c r="D306" s="232"/>
      <c r="E306" s="58"/>
      <c r="F306" s="16" t="s">
        <v>2479</v>
      </c>
      <c r="G306" s="32" t="s">
        <v>2480</v>
      </c>
      <c r="H306" s="32" t="s">
        <v>2481</v>
      </c>
      <c r="I306" s="185" t="s">
        <v>2482</v>
      </c>
      <c r="J306" s="35"/>
      <c r="K306" s="107"/>
      <c r="L306" s="107" t="s">
        <v>2483</v>
      </c>
      <c r="M306" s="77" t="s">
        <v>2484</v>
      </c>
      <c r="N306" s="38" t="s">
        <v>2485</v>
      </c>
      <c r="O306" s="38"/>
      <c r="P306" s="42" t="s">
        <v>2486</v>
      </c>
      <c r="Q306" s="127" t="s">
        <v>2487</v>
      </c>
      <c r="R306" s="89" t="s">
        <v>2488</v>
      </c>
      <c r="S306" s="77" t="s">
        <v>41</v>
      </c>
      <c r="T306" s="186"/>
      <c r="U306" s="187"/>
      <c r="V306" s="187"/>
      <c r="W306" s="29" t="s">
        <v>2223</v>
      </c>
      <c r="X306" s="29" t="s">
        <v>2224</v>
      </c>
      <c r="Y306" s="30" t="s">
        <v>2284</v>
      </c>
      <c r="Z306" s="30"/>
      <c r="AA306" s="30"/>
      <c r="AB306" s="31" t="s">
        <v>2489</v>
      </c>
      <c r="AC306" s="32"/>
      <c r="AD306" s="21"/>
      <c r="AE306" s="32"/>
      <c r="AF306" s="32"/>
      <c r="AG306" s="32"/>
      <c r="AH306" s="32"/>
      <c r="AI306" s="32"/>
      <c r="AJ306" s="32"/>
      <c r="AK306" s="32"/>
      <c r="AL306" s="32"/>
      <c r="AM306" s="32"/>
      <c r="AN306" s="32"/>
      <c r="AO306" s="32"/>
      <c r="AP306" s="32"/>
      <c r="AQ306" s="32"/>
    </row>
    <row r="307" spans="1:43" ht="15.75" customHeight="1">
      <c r="A307" s="458" t="s">
        <v>2490</v>
      </c>
      <c r="B307" s="33" t="s">
        <v>429</v>
      </c>
      <c r="C307" s="247" t="s">
        <v>170</v>
      </c>
      <c r="D307" s="244"/>
      <c r="E307" s="188"/>
      <c r="F307" s="189" t="s">
        <v>2491</v>
      </c>
      <c r="G307" s="184"/>
      <c r="H307" s="190" t="s">
        <v>2492</v>
      </c>
      <c r="I307" s="32" t="s">
        <v>2493</v>
      </c>
      <c r="J307" s="22"/>
      <c r="K307" s="22"/>
      <c r="L307" s="22" t="s">
        <v>1276</v>
      </c>
      <c r="M307" s="113" t="s">
        <v>2494</v>
      </c>
      <c r="N307" s="38" t="s">
        <v>2495</v>
      </c>
      <c r="O307" s="38" t="s">
        <v>2496</v>
      </c>
      <c r="P307" s="25"/>
      <c r="Q307" s="56" t="s">
        <v>2497</v>
      </c>
      <c r="R307" s="32" t="s">
        <v>517</v>
      </c>
      <c r="S307" s="77" t="s">
        <v>41</v>
      </c>
      <c r="T307" s="21"/>
      <c r="U307" s="28"/>
      <c r="V307" s="28"/>
      <c r="W307" s="29"/>
      <c r="X307" s="29"/>
      <c r="Y307" s="30" t="s">
        <v>2498</v>
      </c>
      <c r="Z307" s="30" t="s">
        <v>2499</v>
      </c>
      <c r="AA307" s="30" t="s">
        <v>2500</v>
      </c>
      <c r="AB307" s="41"/>
      <c r="AC307" s="32"/>
      <c r="AD307" s="21"/>
      <c r="AE307" s="32"/>
      <c r="AF307" s="32"/>
      <c r="AG307" s="32"/>
      <c r="AH307" s="32"/>
      <c r="AI307" s="32"/>
      <c r="AJ307" s="32"/>
      <c r="AK307" s="32"/>
      <c r="AL307" s="32"/>
      <c r="AM307" s="32"/>
      <c r="AN307" s="32"/>
      <c r="AO307" s="32"/>
      <c r="AP307" s="32"/>
      <c r="AQ307" s="32"/>
    </row>
    <row r="308" spans="1:43" ht="15.75" customHeight="1">
      <c r="A308" s="458" t="s">
        <v>3833</v>
      </c>
      <c r="B308" s="33" t="s">
        <v>429</v>
      </c>
      <c r="C308" s="246" t="s">
        <v>2501</v>
      </c>
      <c r="D308" s="244"/>
      <c r="E308" s="188"/>
      <c r="F308" s="189" t="s">
        <v>2502</v>
      </c>
      <c r="G308" s="184"/>
      <c r="H308" s="190" t="s">
        <v>2503</v>
      </c>
      <c r="I308" s="190" t="s">
        <v>2493</v>
      </c>
      <c r="J308" s="22"/>
      <c r="K308" s="22"/>
      <c r="L308" s="22"/>
      <c r="M308" s="113" t="s">
        <v>2504</v>
      </c>
      <c r="N308" s="38" t="s">
        <v>2505</v>
      </c>
      <c r="O308" s="38" t="s">
        <v>38</v>
      </c>
      <c r="P308" s="25"/>
      <c r="Q308" s="56" t="s">
        <v>1160</v>
      </c>
      <c r="R308" s="32" t="s">
        <v>517</v>
      </c>
      <c r="S308" s="77" t="s">
        <v>41</v>
      </c>
      <c r="T308" s="21" t="s">
        <v>2506</v>
      </c>
      <c r="U308" s="28"/>
      <c r="V308" s="28"/>
      <c r="W308" s="29"/>
      <c r="X308" s="29"/>
      <c r="Y308" s="30" t="s">
        <v>2507</v>
      </c>
      <c r="Z308" s="30" t="s">
        <v>2508</v>
      </c>
      <c r="AA308" s="30" t="s">
        <v>2509</v>
      </c>
      <c r="AB308" s="41"/>
      <c r="AC308" s="32"/>
      <c r="AD308" s="21"/>
      <c r="AE308" s="32"/>
      <c r="AF308" s="32"/>
      <c r="AG308" s="32"/>
      <c r="AH308" s="32"/>
      <c r="AI308" s="32"/>
      <c r="AJ308" s="32"/>
      <c r="AK308" s="32"/>
      <c r="AL308" s="32"/>
      <c r="AM308" s="32"/>
      <c r="AN308" s="32"/>
      <c r="AO308" s="32"/>
      <c r="AP308" s="32"/>
      <c r="AQ308" s="32"/>
    </row>
    <row r="309" spans="1:43" ht="15.75" customHeight="1">
      <c r="A309" s="458" t="s">
        <v>2510</v>
      </c>
      <c r="B309" s="14" t="s">
        <v>429</v>
      </c>
      <c r="C309" s="246" t="s">
        <v>2511</v>
      </c>
      <c r="D309" s="232"/>
      <c r="E309" s="58"/>
      <c r="F309" s="16" t="s">
        <v>2512</v>
      </c>
      <c r="G309" s="32"/>
      <c r="H309" s="32" t="s">
        <v>2513</v>
      </c>
      <c r="I309" s="185" t="s">
        <v>2514</v>
      </c>
      <c r="J309" s="22"/>
      <c r="K309" s="22"/>
      <c r="L309" s="22"/>
      <c r="M309" s="113" t="s">
        <v>1277</v>
      </c>
      <c r="N309" s="89" t="s">
        <v>2515</v>
      </c>
      <c r="O309" s="89" t="s">
        <v>2516</v>
      </c>
      <c r="P309" s="90"/>
      <c r="Q309" s="91" t="s">
        <v>2517</v>
      </c>
      <c r="R309" s="32" t="s">
        <v>517</v>
      </c>
      <c r="S309" s="77" t="s">
        <v>41</v>
      </c>
      <c r="T309" s="21" t="s">
        <v>2518</v>
      </c>
      <c r="U309" s="28"/>
      <c r="V309" s="28"/>
      <c r="W309" s="29"/>
      <c r="X309" s="29"/>
      <c r="Y309" s="168" t="s">
        <v>2519</v>
      </c>
      <c r="Z309" s="30" t="s">
        <v>2520</v>
      </c>
      <c r="AA309" s="30" t="s">
        <v>2521</v>
      </c>
      <c r="AB309" s="31"/>
      <c r="AC309" s="32"/>
      <c r="AD309" s="21"/>
      <c r="AE309" s="32"/>
      <c r="AF309" s="32"/>
      <c r="AG309" s="32"/>
      <c r="AH309" s="32"/>
      <c r="AI309" s="32"/>
      <c r="AJ309" s="32"/>
      <c r="AK309" s="32"/>
      <c r="AL309" s="32"/>
      <c r="AM309" s="32"/>
      <c r="AN309" s="32"/>
      <c r="AO309" s="32"/>
      <c r="AP309" s="32"/>
      <c r="AQ309" s="32"/>
    </row>
    <row r="310" spans="1:43" ht="15.75" customHeight="1">
      <c r="A310" s="458" t="s">
        <v>3832</v>
      </c>
      <c r="B310" s="33" t="s">
        <v>429</v>
      </c>
      <c r="C310" s="246" t="s">
        <v>2522</v>
      </c>
      <c r="D310" s="231"/>
      <c r="E310" s="58"/>
      <c r="F310" s="16" t="s">
        <v>2523</v>
      </c>
      <c r="G310" s="32"/>
      <c r="H310" s="354" t="s">
        <v>3936</v>
      </c>
      <c r="I310" s="32" t="s">
        <v>2493</v>
      </c>
      <c r="J310" s="22"/>
      <c r="K310" s="22" t="s">
        <v>2524</v>
      </c>
      <c r="L310" s="22"/>
      <c r="M310" s="113" t="s">
        <v>1277</v>
      </c>
      <c r="N310" s="89" t="s">
        <v>2515</v>
      </c>
      <c r="O310" s="89" t="s">
        <v>2516</v>
      </c>
      <c r="P310" s="25"/>
      <c r="Q310" s="91" t="s">
        <v>2517</v>
      </c>
      <c r="R310" s="32" t="s">
        <v>517</v>
      </c>
      <c r="S310" s="77" t="s">
        <v>41</v>
      </c>
      <c r="T310" s="21"/>
      <c r="U310" s="28"/>
      <c r="V310" s="28"/>
      <c r="W310" s="29" t="s">
        <v>2525</v>
      </c>
      <c r="X310" s="29" t="s">
        <v>2526</v>
      </c>
      <c r="Y310" s="355" t="s">
        <v>2527</v>
      </c>
      <c r="Z310" s="30" t="s">
        <v>2528</v>
      </c>
      <c r="AA310" s="30" t="s">
        <v>2521</v>
      </c>
      <c r="AB310" s="46" t="s">
        <v>2529</v>
      </c>
      <c r="AC310" s="32"/>
      <c r="AD310" s="21"/>
      <c r="AE310" s="32"/>
      <c r="AF310" s="32"/>
      <c r="AG310" s="32"/>
      <c r="AH310" s="32"/>
      <c r="AI310" s="32"/>
      <c r="AJ310" s="32"/>
      <c r="AK310" s="32"/>
      <c r="AL310" s="32"/>
      <c r="AM310" s="32"/>
      <c r="AN310" s="32"/>
      <c r="AO310" s="32"/>
      <c r="AP310" s="32"/>
      <c r="AQ310" s="32"/>
    </row>
    <row r="311" spans="1:43" ht="15.75" customHeight="1">
      <c r="A311" s="458" t="s">
        <v>2530</v>
      </c>
      <c r="B311" s="33" t="s">
        <v>429</v>
      </c>
      <c r="C311" s="247" t="s">
        <v>170</v>
      </c>
      <c r="D311" s="232"/>
      <c r="E311" s="58"/>
      <c r="F311" s="16" t="s">
        <v>2531</v>
      </c>
      <c r="G311" s="32"/>
      <c r="H311" s="191" t="s">
        <v>2532</v>
      </c>
      <c r="I311" s="185" t="s">
        <v>2533</v>
      </c>
      <c r="J311" s="22"/>
      <c r="K311" s="22"/>
      <c r="L311" s="22" t="s">
        <v>2534</v>
      </c>
      <c r="M311" s="43" t="s">
        <v>2187</v>
      </c>
      <c r="N311" s="38" t="s">
        <v>2535</v>
      </c>
      <c r="O311" s="38"/>
      <c r="P311" s="25"/>
      <c r="Q311" s="56"/>
      <c r="R311" s="101" t="s">
        <v>40</v>
      </c>
      <c r="S311" s="77" t="s">
        <v>41</v>
      </c>
      <c r="T311" s="21"/>
      <c r="U311" s="28"/>
      <c r="V311" s="28"/>
      <c r="W311" s="29"/>
      <c r="X311" s="29"/>
      <c r="Y311" s="30"/>
      <c r="Z311" s="30"/>
      <c r="AA311" s="30"/>
      <c r="AB311" s="41"/>
      <c r="AC311" s="32"/>
      <c r="AD311" s="21"/>
      <c r="AE311" s="32"/>
      <c r="AF311" s="32"/>
      <c r="AG311" s="32"/>
      <c r="AH311" s="32"/>
      <c r="AI311" s="32"/>
      <c r="AJ311" s="32"/>
      <c r="AK311" s="32"/>
      <c r="AL311" s="32"/>
      <c r="AM311" s="32"/>
      <c r="AN311" s="32"/>
      <c r="AO311" s="32"/>
      <c r="AP311" s="32"/>
      <c r="AQ311" s="32"/>
    </row>
    <row r="312" spans="1:43" ht="15.75" customHeight="1">
      <c r="A312" s="458" t="s">
        <v>2536</v>
      </c>
      <c r="B312" s="33" t="s">
        <v>429</v>
      </c>
      <c r="C312" s="247" t="s">
        <v>170</v>
      </c>
      <c r="D312" s="232"/>
      <c r="E312" s="58"/>
      <c r="F312" s="47" t="s">
        <v>2537</v>
      </c>
      <c r="G312" s="32" t="s">
        <v>2538</v>
      </c>
      <c r="H312" s="191" t="s">
        <v>2539</v>
      </c>
      <c r="I312" s="185" t="s">
        <v>2540</v>
      </c>
      <c r="J312" s="107" t="s">
        <v>2541</v>
      </c>
      <c r="K312" s="107"/>
      <c r="L312" s="107"/>
      <c r="M312" s="43" t="s">
        <v>136</v>
      </c>
      <c r="N312" s="38" t="s">
        <v>2542</v>
      </c>
      <c r="O312" s="294"/>
      <c r="P312" s="124"/>
      <c r="Q312" s="121"/>
      <c r="R312" s="39" t="s">
        <v>634</v>
      </c>
      <c r="S312" s="77" t="s">
        <v>41</v>
      </c>
      <c r="T312" s="21" t="s">
        <v>2543</v>
      </c>
      <c r="U312" s="28"/>
      <c r="V312" s="28"/>
      <c r="W312" s="29"/>
      <c r="X312" s="29"/>
      <c r="Y312" s="61"/>
      <c r="Z312" s="30"/>
      <c r="AA312" s="30"/>
      <c r="AB312" s="41"/>
      <c r="AC312" s="32"/>
      <c r="AD312" s="21"/>
      <c r="AE312" s="32"/>
      <c r="AF312" s="32"/>
      <c r="AG312" s="32"/>
      <c r="AH312" s="32"/>
      <c r="AI312" s="32"/>
      <c r="AJ312" s="32"/>
      <c r="AK312" s="32"/>
      <c r="AL312" s="32"/>
      <c r="AM312" s="32"/>
      <c r="AN312" s="32"/>
      <c r="AO312" s="32"/>
      <c r="AP312" s="32"/>
      <c r="AQ312" s="32"/>
    </row>
    <row r="313" spans="1:43" ht="15.75" customHeight="1">
      <c r="A313" s="458" t="s">
        <v>2544</v>
      </c>
      <c r="B313" s="33" t="s">
        <v>429</v>
      </c>
      <c r="C313" s="250" t="s">
        <v>170</v>
      </c>
      <c r="D313" s="232"/>
      <c r="E313" s="58"/>
      <c r="F313" s="47" t="s">
        <v>2545</v>
      </c>
      <c r="G313" s="32"/>
      <c r="H313" s="190" t="s">
        <v>2546</v>
      </c>
      <c r="I313" s="32" t="s">
        <v>2533</v>
      </c>
      <c r="J313" s="82"/>
      <c r="K313" s="82"/>
      <c r="L313" s="22"/>
      <c r="M313" s="33" t="s">
        <v>2547</v>
      </c>
      <c r="N313" s="38" t="s">
        <v>2548</v>
      </c>
      <c r="O313" s="294"/>
      <c r="P313" s="59" t="s">
        <v>2549</v>
      </c>
      <c r="Q313" s="26" t="s">
        <v>2550</v>
      </c>
      <c r="R313" s="305" t="s">
        <v>40</v>
      </c>
      <c r="S313" s="77" t="s">
        <v>383</v>
      </c>
      <c r="T313" s="21" t="s">
        <v>2551</v>
      </c>
      <c r="U313" s="28"/>
      <c r="V313" s="28"/>
      <c r="W313" s="29"/>
      <c r="X313" s="29"/>
      <c r="Y313" s="61"/>
      <c r="Z313" s="30"/>
      <c r="AA313" s="30"/>
      <c r="AB313" s="31" t="s">
        <v>2552</v>
      </c>
      <c r="AC313" s="32"/>
      <c r="AD313" s="21"/>
      <c r="AE313" s="32"/>
      <c r="AF313" s="32"/>
      <c r="AG313" s="32"/>
      <c r="AH313" s="32"/>
      <c r="AI313" s="32"/>
      <c r="AJ313" s="32"/>
      <c r="AK313" s="32"/>
      <c r="AL313" s="32"/>
      <c r="AM313" s="32"/>
      <c r="AN313" s="32"/>
      <c r="AO313" s="32"/>
      <c r="AP313" s="32"/>
      <c r="AQ313" s="32"/>
    </row>
    <row r="314" spans="1:43" ht="15.75" customHeight="1">
      <c r="A314" s="458" t="s">
        <v>2553</v>
      </c>
      <c r="B314" s="15" t="s">
        <v>429</v>
      </c>
      <c r="C314" s="256" t="s">
        <v>142</v>
      </c>
      <c r="D314" s="235"/>
      <c r="E314" s="58"/>
      <c r="F314" s="21" t="s">
        <v>2554</v>
      </c>
      <c r="G314" s="21"/>
      <c r="H314" s="192" t="s">
        <v>2555</v>
      </c>
      <c r="I314" s="192" t="s">
        <v>2533</v>
      </c>
      <c r="J314" s="193" t="s">
        <v>2556</v>
      </c>
      <c r="K314" s="82"/>
      <c r="L314" s="82" t="s">
        <v>2557</v>
      </c>
      <c r="M314" s="97" t="s">
        <v>2558</v>
      </c>
      <c r="N314" s="65" t="s">
        <v>2559</v>
      </c>
      <c r="O314" s="65"/>
      <c r="P314" s="194" t="s">
        <v>2560</v>
      </c>
      <c r="Q314" s="26" t="s">
        <v>2561</v>
      </c>
      <c r="R314" s="305" t="s">
        <v>40</v>
      </c>
      <c r="S314" s="97" t="s">
        <v>41</v>
      </c>
      <c r="T314" s="21" t="s">
        <v>2562</v>
      </c>
      <c r="U314" s="28" t="s">
        <v>2223</v>
      </c>
      <c r="V314" s="28" t="s">
        <v>2224</v>
      </c>
      <c r="W314" s="29" t="s">
        <v>2223</v>
      </c>
      <c r="X314" s="29" t="s">
        <v>2224</v>
      </c>
      <c r="Y314" s="30" t="s">
        <v>2563</v>
      </c>
      <c r="Z314" s="30"/>
      <c r="AA314" s="30"/>
      <c r="AB314" s="41"/>
      <c r="AC314" s="21"/>
      <c r="AD314" s="21"/>
      <c r="AE314" s="21"/>
      <c r="AF314" s="21"/>
      <c r="AG314" s="21"/>
      <c r="AH314" s="21"/>
      <c r="AI314" s="21"/>
      <c r="AJ314" s="21"/>
      <c r="AK314" s="21"/>
      <c r="AL314" s="21"/>
      <c r="AM314" s="21"/>
      <c r="AN314" s="21"/>
      <c r="AO314" s="21"/>
      <c r="AP314" s="21"/>
      <c r="AQ314" s="21"/>
    </row>
    <row r="315" spans="1:43" ht="15.75" customHeight="1">
      <c r="A315" s="458" t="s">
        <v>2564</v>
      </c>
      <c r="B315" s="33" t="s">
        <v>429</v>
      </c>
      <c r="C315" s="247" t="s">
        <v>170</v>
      </c>
      <c r="D315" s="232"/>
      <c r="E315" s="58"/>
      <c r="F315" s="47" t="s">
        <v>2565</v>
      </c>
      <c r="G315" s="32"/>
      <c r="H315" s="190" t="s">
        <v>2566</v>
      </c>
      <c r="I315" s="190" t="s">
        <v>2533</v>
      </c>
      <c r="J315" s="22" t="s">
        <v>2567</v>
      </c>
      <c r="K315" s="193"/>
      <c r="L315" s="193" t="s">
        <v>2568</v>
      </c>
      <c r="M315" s="77" t="s">
        <v>2569</v>
      </c>
      <c r="N315" s="38" t="s">
        <v>2570</v>
      </c>
      <c r="O315" s="38"/>
      <c r="P315" s="25"/>
      <c r="Q315" s="26"/>
      <c r="R315" s="39" t="s">
        <v>370</v>
      </c>
      <c r="S315" s="77" t="s">
        <v>41</v>
      </c>
      <c r="T315" s="410" t="s">
        <v>2571</v>
      </c>
      <c r="U315" s="28"/>
      <c r="V315" s="28"/>
      <c r="W315" s="111"/>
      <c r="X315" s="111"/>
      <c r="Y315" s="30"/>
      <c r="Z315" s="30"/>
      <c r="AA315" s="30"/>
      <c r="AB315" s="41"/>
      <c r="AC315" s="32"/>
      <c r="AD315" s="21"/>
      <c r="AE315" s="32"/>
      <c r="AF315" s="32"/>
      <c r="AG315" s="32"/>
      <c r="AH315" s="32"/>
      <c r="AI315" s="32"/>
      <c r="AJ315" s="32"/>
      <c r="AK315" s="32"/>
      <c r="AL315" s="32"/>
      <c r="AM315" s="32"/>
      <c r="AN315" s="32"/>
      <c r="AO315" s="32"/>
      <c r="AP315" s="32"/>
      <c r="AQ315" s="32"/>
    </row>
    <row r="316" spans="1:43" ht="15.75" customHeight="1">
      <c r="A316" s="458" t="s">
        <v>2572</v>
      </c>
      <c r="B316" s="33" t="s">
        <v>429</v>
      </c>
      <c r="C316" s="247" t="s">
        <v>170</v>
      </c>
      <c r="D316" s="232"/>
      <c r="E316" s="58"/>
      <c r="F316" s="16" t="s">
        <v>2573</v>
      </c>
      <c r="G316" s="32"/>
      <c r="H316" s="32" t="s">
        <v>2574</v>
      </c>
      <c r="I316" s="185" t="s">
        <v>2575</v>
      </c>
      <c r="J316" s="22"/>
      <c r="K316" s="22"/>
      <c r="L316" s="22"/>
      <c r="M316" s="113" t="s">
        <v>1650</v>
      </c>
      <c r="N316" s="38" t="s">
        <v>1651</v>
      </c>
      <c r="O316" s="38"/>
      <c r="P316" s="25"/>
      <c r="Q316" s="56"/>
      <c r="R316" s="96" t="s">
        <v>79</v>
      </c>
      <c r="S316" s="77" t="s">
        <v>41</v>
      </c>
      <c r="T316" s="21"/>
      <c r="U316" s="28"/>
      <c r="V316" s="28"/>
      <c r="W316" s="29" t="s">
        <v>2223</v>
      </c>
      <c r="X316" s="29" t="s">
        <v>2224</v>
      </c>
      <c r="Y316" s="30" t="s">
        <v>2576</v>
      </c>
      <c r="Z316" s="30"/>
      <c r="AA316" s="30"/>
      <c r="AB316" s="41"/>
      <c r="AC316" s="32"/>
      <c r="AD316" s="21"/>
      <c r="AE316" s="32"/>
      <c r="AF316" s="32"/>
      <c r="AG316" s="32"/>
      <c r="AH316" s="32"/>
      <c r="AI316" s="32"/>
      <c r="AJ316" s="32"/>
      <c r="AK316" s="32"/>
      <c r="AL316" s="32"/>
      <c r="AM316" s="32"/>
      <c r="AN316" s="32"/>
      <c r="AO316" s="32"/>
      <c r="AP316" s="32"/>
      <c r="AQ316" s="32"/>
    </row>
    <row r="317" spans="1:43" ht="15.75" customHeight="1">
      <c r="A317" s="458" t="s">
        <v>2577</v>
      </c>
      <c r="B317" s="33" t="s">
        <v>429</v>
      </c>
      <c r="C317" s="247" t="s">
        <v>170</v>
      </c>
      <c r="D317" s="232"/>
      <c r="E317" s="58"/>
      <c r="F317" s="16" t="s">
        <v>2578</v>
      </c>
      <c r="G317" s="32"/>
      <c r="H317" s="190" t="s">
        <v>2579</v>
      </c>
      <c r="I317" s="32" t="s">
        <v>2493</v>
      </c>
      <c r="J317" s="22"/>
      <c r="K317" s="82"/>
      <c r="L317" s="82"/>
      <c r="M317" s="296" t="s">
        <v>1608</v>
      </c>
      <c r="N317" s="38" t="s">
        <v>2580</v>
      </c>
      <c r="O317" s="38"/>
      <c r="P317" s="25"/>
      <c r="Q317" s="56"/>
      <c r="R317" s="96" t="s">
        <v>537</v>
      </c>
      <c r="S317" s="77" t="s">
        <v>41</v>
      </c>
      <c r="T317" s="21" t="s">
        <v>2581</v>
      </c>
      <c r="U317" s="28"/>
      <c r="V317" s="28"/>
      <c r="W317" s="29" t="s">
        <v>2223</v>
      </c>
      <c r="X317" s="29" t="s">
        <v>2224</v>
      </c>
      <c r="Y317" s="195" t="s">
        <v>2582</v>
      </c>
      <c r="Z317" s="195"/>
      <c r="AA317" s="30" t="s">
        <v>2583</v>
      </c>
      <c r="AB317" s="41"/>
      <c r="AC317" s="32"/>
      <c r="AD317" s="21"/>
      <c r="AE317" s="32"/>
      <c r="AF317" s="32"/>
      <c r="AG317" s="32"/>
      <c r="AH317" s="32"/>
      <c r="AI317" s="32"/>
      <c r="AJ317" s="32"/>
      <c r="AK317" s="32"/>
      <c r="AL317" s="32"/>
      <c r="AM317" s="32"/>
      <c r="AN317" s="32"/>
      <c r="AO317" s="32"/>
      <c r="AP317" s="32"/>
      <c r="AQ317" s="32"/>
    </row>
    <row r="318" spans="1:43" ht="15.75" customHeight="1">
      <c r="A318" s="99" t="s">
        <v>3831</v>
      </c>
      <c r="B318" s="33" t="s">
        <v>2584</v>
      </c>
      <c r="C318" s="260" t="s">
        <v>3767</v>
      </c>
      <c r="E318" s="58" t="s">
        <v>2585</v>
      </c>
      <c r="F318" s="16" t="s">
        <v>2586</v>
      </c>
      <c r="G318" s="32"/>
      <c r="H318" s="32" t="s">
        <v>2587</v>
      </c>
      <c r="I318" s="32" t="s">
        <v>2533</v>
      </c>
      <c r="J318" s="22" t="s">
        <v>2588</v>
      </c>
      <c r="K318" s="22"/>
      <c r="L318" s="166"/>
      <c r="M318" s="309" t="s">
        <v>2589</v>
      </c>
      <c r="N318" s="89" t="s">
        <v>2590</v>
      </c>
      <c r="O318" s="89"/>
      <c r="P318" s="90"/>
      <c r="Q318" s="75"/>
      <c r="R318" s="305" t="s">
        <v>40</v>
      </c>
      <c r="S318" s="32" t="s">
        <v>383</v>
      </c>
      <c r="T318" s="21" t="s">
        <v>2591</v>
      </c>
      <c r="U318" s="28"/>
      <c r="V318" s="28"/>
      <c r="W318" s="29" t="s">
        <v>2223</v>
      </c>
      <c r="X318" s="29" t="s">
        <v>2224</v>
      </c>
      <c r="Y318" s="30" t="s">
        <v>2592</v>
      </c>
      <c r="Z318" s="30"/>
      <c r="AA318" s="30"/>
      <c r="AB318" s="31" t="s">
        <v>2593</v>
      </c>
      <c r="AC318" s="32"/>
      <c r="AD318" s="21"/>
      <c r="AE318" s="32"/>
      <c r="AF318" s="32"/>
      <c r="AG318" s="32"/>
      <c r="AH318" s="32"/>
      <c r="AI318" s="32"/>
      <c r="AJ318" s="32"/>
      <c r="AK318" s="32"/>
      <c r="AL318" s="32"/>
      <c r="AM318" s="32"/>
      <c r="AN318" s="32"/>
      <c r="AO318" s="32"/>
      <c r="AP318" s="32"/>
      <c r="AQ318" s="32"/>
    </row>
    <row r="319" spans="1:43" ht="15.75" customHeight="1">
      <c r="A319" s="458" t="s">
        <v>2594</v>
      </c>
      <c r="B319" s="14" t="s">
        <v>429</v>
      </c>
      <c r="C319" s="253" t="s">
        <v>170</v>
      </c>
      <c r="D319" s="231" t="s">
        <v>2595</v>
      </c>
      <c r="E319" s="58"/>
      <c r="F319" s="16" t="s">
        <v>2596</v>
      </c>
      <c r="G319" s="32"/>
      <c r="H319" s="32" t="s">
        <v>2597</v>
      </c>
      <c r="I319" s="185" t="s">
        <v>2493</v>
      </c>
      <c r="J319" s="82"/>
      <c r="K319" s="82"/>
      <c r="L319" s="22"/>
      <c r="M319" s="296" t="s">
        <v>1277</v>
      </c>
      <c r="N319" s="38" t="s">
        <v>2598</v>
      </c>
      <c r="O319" s="38" t="s">
        <v>2599</v>
      </c>
      <c r="P319" s="25"/>
      <c r="Q319" s="56" t="s">
        <v>2600</v>
      </c>
      <c r="R319" s="39" t="s">
        <v>517</v>
      </c>
      <c r="S319" s="77" t="s">
        <v>41</v>
      </c>
      <c r="T319" s="21"/>
      <c r="U319" s="28"/>
      <c r="V319" s="28"/>
      <c r="W319" s="29" t="s">
        <v>2223</v>
      </c>
      <c r="X319" s="29" t="s">
        <v>2224</v>
      </c>
      <c r="Y319" s="30" t="s">
        <v>2601</v>
      </c>
      <c r="Z319" s="30" t="s">
        <v>2602</v>
      </c>
      <c r="AA319" s="30" t="s">
        <v>2603</v>
      </c>
      <c r="AB319" s="41"/>
      <c r="AC319" s="32"/>
      <c r="AD319" s="21"/>
      <c r="AE319" s="32"/>
      <c r="AF319" s="32"/>
      <c r="AG319" s="32"/>
      <c r="AH319" s="32"/>
      <c r="AI319" s="32"/>
      <c r="AJ319" s="32"/>
      <c r="AK319" s="32"/>
      <c r="AL319" s="32"/>
      <c r="AM319" s="32"/>
      <c r="AN319" s="32"/>
      <c r="AO319" s="32"/>
      <c r="AP319" s="32"/>
      <c r="AQ319" s="32"/>
    </row>
    <row r="320" spans="1:43" ht="15.75" customHeight="1">
      <c r="A320" s="458" t="s">
        <v>3829</v>
      </c>
      <c r="B320" s="33" t="s">
        <v>429</v>
      </c>
      <c r="C320" s="253" t="s">
        <v>2604</v>
      </c>
      <c r="D320" s="242"/>
      <c r="E320" s="52"/>
      <c r="F320" s="14" t="s">
        <v>2271</v>
      </c>
      <c r="G320" s="48"/>
      <c r="H320" s="32" t="s">
        <v>2605</v>
      </c>
      <c r="I320" s="113" t="s">
        <v>2606</v>
      </c>
      <c r="J320" s="35"/>
      <c r="K320" s="22"/>
      <c r="L320" s="22" t="s">
        <v>2607</v>
      </c>
      <c r="M320" s="389" t="s">
        <v>853</v>
      </c>
      <c r="N320" s="38" t="s">
        <v>37</v>
      </c>
      <c r="O320" s="38"/>
      <c r="P320" s="25"/>
      <c r="Q320" s="56"/>
      <c r="R320" s="39" t="s">
        <v>370</v>
      </c>
      <c r="S320" s="77" t="s">
        <v>41</v>
      </c>
      <c r="T320" s="21" t="s">
        <v>2608</v>
      </c>
      <c r="U320" s="28"/>
      <c r="V320" s="28"/>
      <c r="W320" s="29"/>
      <c r="X320" s="29"/>
      <c r="Y320" s="61"/>
      <c r="Z320" s="30"/>
      <c r="AA320" s="30"/>
      <c r="AB320" s="41"/>
      <c r="AC320" s="32"/>
      <c r="AD320" s="21"/>
      <c r="AE320" s="32"/>
      <c r="AF320" s="32"/>
      <c r="AG320" s="32"/>
      <c r="AH320" s="32"/>
      <c r="AI320" s="32"/>
      <c r="AJ320" s="32"/>
      <c r="AK320" s="32"/>
      <c r="AL320" s="32"/>
      <c r="AM320" s="32"/>
      <c r="AN320" s="32"/>
      <c r="AO320" s="32"/>
      <c r="AP320" s="32"/>
      <c r="AQ320" s="32"/>
    </row>
    <row r="321" spans="1:43" ht="15.75" customHeight="1">
      <c r="A321" s="458" t="s">
        <v>3830</v>
      </c>
      <c r="B321" s="33" t="s">
        <v>429</v>
      </c>
      <c r="C321" s="246" t="s">
        <v>2609</v>
      </c>
      <c r="D321" s="242"/>
      <c r="E321" s="52"/>
      <c r="F321" s="14" t="s">
        <v>2271</v>
      </c>
      <c r="G321" s="48"/>
      <c r="H321" s="33" t="s">
        <v>2610</v>
      </c>
      <c r="I321" s="32" t="s">
        <v>2611</v>
      </c>
      <c r="J321" s="22"/>
      <c r="K321" s="22" t="s">
        <v>2612</v>
      </c>
      <c r="L321" s="22" t="s">
        <v>1994</v>
      </c>
      <c r="M321" s="113" t="s">
        <v>2613</v>
      </c>
      <c r="N321" s="38" t="s">
        <v>2614</v>
      </c>
      <c r="O321" s="38"/>
      <c r="P321" s="25"/>
      <c r="Q321" s="56"/>
      <c r="R321" s="94" t="s">
        <v>537</v>
      </c>
      <c r="S321" s="77" t="s">
        <v>41</v>
      </c>
      <c r="T321" s="21"/>
      <c r="U321" s="28" t="s">
        <v>2615</v>
      </c>
      <c r="V321" s="28" t="s">
        <v>2616</v>
      </c>
      <c r="W321" s="29" t="s">
        <v>2223</v>
      </c>
      <c r="X321" s="29" t="s">
        <v>2224</v>
      </c>
      <c r="Y321" s="30" t="s">
        <v>2617</v>
      </c>
      <c r="Z321" s="30" t="s">
        <v>2618</v>
      </c>
      <c r="AA321" s="30" t="s">
        <v>2619</v>
      </c>
      <c r="AB321" s="41"/>
      <c r="AC321" s="32" t="s">
        <v>2620</v>
      </c>
      <c r="AD321" s="21"/>
      <c r="AE321" s="32"/>
      <c r="AF321" s="32"/>
      <c r="AG321" s="32"/>
      <c r="AH321" s="32"/>
      <c r="AI321" s="32"/>
      <c r="AJ321" s="32"/>
      <c r="AK321" s="32"/>
      <c r="AL321" s="32"/>
      <c r="AM321" s="32"/>
      <c r="AN321" s="32"/>
      <c r="AO321" s="32"/>
      <c r="AP321" s="32"/>
      <c r="AQ321" s="32"/>
    </row>
    <row r="322" spans="1:43" ht="15.75" customHeight="1">
      <c r="A322" s="458" t="s">
        <v>2621</v>
      </c>
      <c r="B322" s="33" t="s">
        <v>429</v>
      </c>
      <c r="C322" s="247" t="s">
        <v>170</v>
      </c>
      <c r="D322" s="232"/>
      <c r="E322" s="58"/>
      <c r="F322" s="16" t="s">
        <v>2622</v>
      </c>
      <c r="G322" s="32" t="s">
        <v>2623</v>
      </c>
      <c r="H322" s="33" t="s">
        <v>2624</v>
      </c>
      <c r="I322" s="185" t="s">
        <v>2625</v>
      </c>
      <c r="J322" s="22"/>
      <c r="K322" s="82"/>
      <c r="L322" s="82"/>
      <c r="M322" s="296" t="s">
        <v>796</v>
      </c>
      <c r="N322" s="38" t="s">
        <v>2626</v>
      </c>
      <c r="O322" s="38"/>
      <c r="P322" s="25"/>
      <c r="Q322" s="56"/>
      <c r="R322" s="94" t="s">
        <v>1095</v>
      </c>
      <c r="S322" s="77" t="s">
        <v>41</v>
      </c>
      <c r="T322" s="182"/>
      <c r="U322" s="183"/>
      <c r="V322" s="183"/>
      <c r="W322" s="29" t="s">
        <v>2223</v>
      </c>
      <c r="X322" s="29" t="s">
        <v>2224</v>
      </c>
      <c r="Y322" s="30" t="s">
        <v>2627</v>
      </c>
      <c r="Z322" s="30"/>
      <c r="AA322" s="30"/>
      <c r="AB322" s="41"/>
      <c r="AC322" s="32"/>
      <c r="AD322" s="21"/>
      <c r="AE322" s="32"/>
      <c r="AF322" s="32"/>
      <c r="AG322" s="32"/>
      <c r="AH322" s="32"/>
      <c r="AI322" s="32"/>
      <c r="AJ322" s="32"/>
      <c r="AK322" s="32"/>
      <c r="AL322" s="32"/>
      <c r="AM322" s="32"/>
      <c r="AN322" s="32"/>
      <c r="AO322" s="32"/>
      <c r="AP322" s="32"/>
      <c r="AQ322" s="32"/>
    </row>
    <row r="323" spans="1:43" ht="15.75" customHeight="1">
      <c r="A323" s="458" t="s">
        <v>2628</v>
      </c>
      <c r="B323" s="33" t="s">
        <v>429</v>
      </c>
      <c r="C323" s="247" t="s">
        <v>170</v>
      </c>
      <c r="D323" s="232"/>
      <c r="E323" s="58"/>
      <c r="F323" s="16" t="s">
        <v>2629</v>
      </c>
      <c r="G323" s="32"/>
      <c r="H323" s="190" t="s">
        <v>2630</v>
      </c>
      <c r="I323" s="32" t="s">
        <v>2631</v>
      </c>
      <c r="J323" s="103" t="s">
        <v>2632</v>
      </c>
      <c r="K323" s="103"/>
      <c r="L323" s="166"/>
      <c r="M323" s="32" t="s">
        <v>2633</v>
      </c>
      <c r="N323" s="38" t="s">
        <v>2634</v>
      </c>
      <c r="O323" s="38"/>
      <c r="P323" s="25"/>
      <c r="Q323" s="56"/>
      <c r="R323" s="39" t="s">
        <v>634</v>
      </c>
      <c r="S323" s="77" t="s">
        <v>41</v>
      </c>
      <c r="T323" s="21"/>
      <c r="U323" s="28"/>
      <c r="V323" s="28"/>
      <c r="W323" s="29" t="s">
        <v>2223</v>
      </c>
      <c r="X323" s="29" t="s">
        <v>2224</v>
      </c>
      <c r="Y323" s="30" t="s">
        <v>2635</v>
      </c>
      <c r="Z323" s="30"/>
      <c r="AA323" s="30"/>
      <c r="AB323" s="41"/>
      <c r="AC323" s="32"/>
      <c r="AD323" s="21"/>
      <c r="AE323" s="32"/>
      <c r="AF323" s="32"/>
      <c r="AG323" s="32"/>
      <c r="AH323" s="32"/>
      <c r="AI323" s="32"/>
      <c r="AJ323" s="32"/>
      <c r="AK323" s="32"/>
      <c r="AL323" s="32"/>
      <c r="AM323" s="32"/>
      <c r="AN323" s="32"/>
      <c r="AO323" s="32"/>
      <c r="AP323" s="32"/>
      <c r="AQ323" s="32"/>
    </row>
    <row r="324" spans="1:43" ht="15.75" customHeight="1">
      <c r="A324" s="458" t="s">
        <v>2636</v>
      </c>
      <c r="B324" s="33" t="s">
        <v>429</v>
      </c>
      <c r="C324" s="247" t="s">
        <v>170</v>
      </c>
      <c r="D324" s="232"/>
      <c r="E324" s="58"/>
      <c r="F324" s="16" t="s">
        <v>2637</v>
      </c>
      <c r="G324" s="32"/>
      <c r="H324" s="190" t="s">
        <v>2638</v>
      </c>
      <c r="I324" s="32" t="s">
        <v>2639</v>
      </c>
      <c r="J324" s="35"/>
      <c r="K324" s="107"/>
      <c r="L324" s="107" t="s">
        <v>2640</v>
      </c>
      <c r="M324" s="196" t="s">
        <v>2641</v>
      </c>
      <c r="N324" s="38" t="s">
        <v>2642</v>
      </c>
      <c r="O324" s="38"/>
      <c r="P324" s="25"/>
      <c r="Q324" s="56"/>
      <c r="R324" s="296" t="s">
        <v>2643</v>
      </c>
      <c r="S324" s="135" t="s">
        <v>41</v>
      </c>
      <c r="T324" s="21"/>
      <c r="U324" s="28"/>
      <c r="V324" s="28"/>
      <c r="W324" s="29" t="s">
        <v>2223</v>
      </c>
      <c r="X324" s="29" t="s">
        <v>2224</v>
      </c>
      <c r="Y324" s="30" t="s">
        <v>2284</v>
      </c>
      <c r="Z324" s="30"/>
      <c r="AA324" s="30"/>
      <c r="AB324" s="41"/>
      <c r="AC324" s="32"/>
      <c r="AD324" s="21"/>
      <c r="AE324" s="32"/>
      <c r="AF324" s="32"/>
      <c r="AG324" s="32"/>
      <c r="AH324" s="32"/>
      <c r="AI324" s="32"/>
      <c r="AJ324" s="32"/>
      <c r="AK324" s="32"/>
      <c r="AL324" s="32"/>
      <c r="AM324" s="32"/>
      <c r="AN324" s="32"/>
      <c r="AO324" s="32"/>
      <c r="AP324" s="32"/>
      <c r="AQ324" s="32"/>
    </row>
    <row r="325" spans="1:43" ht="15.75" customHeight="1">
      <c r="A325" s="458" t="s">
        <v>2644</v>
      </c>
      <c r="B325" s="33" t="s">
        <v>429</v>
      </c>
      <c r="C325" s="247" t="s">
        <v>170</v>
      </c>
      <c r="D325" s="232"/>
      <c r="E325" s="58"/>
      <c r="F325" s="16" t="s">
        <v>2645</v>
      </c>
      <c r="G325" s="32"/>
      <c r="H325" s="32" t="s">
        <v>2646</v>
      </c>
      <c r="I325" s="190" t="s">
        <v>2647</v>
      </c>
      <c r="J325" s="22"/>
      <c r="K325" s="22"/>
      <c r="L325" s="22" t="s">
        <v>1276</v>
      </c>
      <c r="M325" s="148" t="s">
        <v>2035</v>
      </c>
      <c r="N325" s="38" t="s">
        <v>2648</v>
      </c>
      <c r="O325" s="38" t="s">
        <v>2649</v>
      </c>
      <c r="P325" s="25"/>
      <c r="Q325" s="56" t="s">
        <v>2650</v>
      </c>
      <c r="R325" s="39" t="s">
        <v>702</v>
      </c>
      <c r="S325" s="77" t="s">
        <v>41</v>
      </c>
      <c r="T325" s="21"/>
      <c r="U325" s="28"/>
      <c r="V325" s="28"/>
      <c r="W325" s="29"/>
      <c r="X325" s="29"/>
      <c r="Y325" s="30"/>
      <c r="Z325" s="30"/>
      <c r="AA325" s="30"/>
      <c r="AB325" s="41"/>
      <c r="AC325" s="32"/>
      <c r="AD325" s="21"/>
      <c r="AE325" s="32"/>
      <c r="AF325" s="32"/>
      <c r="AG325" s="32"/>
      <c r="AH325" s="32"/>
      <c r="AI325" s="32"/>
      <c r="AJ325" s="32"/>
      <c r="AK325" s="32"/>
      <c r="AL325" s="32"/>
      <c r="AM325" s="32"/>
      <c r="AN325" s="32"/>
      <c r="AO325" s="32"/>
      <c r="AP325" s="32"/>
      <c r="AQ325" s="32"/>
    </row>
    <row r="326" spans="1:43" ht="15.75" customHeight="1">
      <c r="A326" s="458" t="s">
        <v>2651</v>
      </c>
      <c r="B326" s="33" t="s">
        <v>429</v>
      </c>
      <c r="C326" s="247" t="s">
        <v>170</v>
      </c>
      <c r="D326" s="366"/>
      <c r="E326" s="188"/>
      <c r="F326" s="189" t="s">
        <v>2652</v>
      </c>
      <c r="G326" s="184"/>
      <c r="H326" s="32" t="s">
        <v>2653</v>
      </c>
      <c r="I326" s="32" t="s">
        <v>2493</v>
      </c>
      <c r="J326" s="22"/>
      <c r="K326" s="22"/>
      <c r="L326" s="22" t="s">
        <v>2654</v>
      </c>
      <c r="M326" s="113" t="s">
        <v>593</v>
      </c>
      <c r="N326" s="38" t="s">
        <v>2655</v>
      </c>
      <c r="O326" s="38"/>
      <c r="P326" s="25"/>
      <c r="Q326" s="56"/>
      <c r="R326" s="96" t="s">
        <v>537</v>
      </c>
      <c r="S326" s="77" t="s">
        <v>41</v>
      </c>
      <c r="T326" s="21"/>
      <c r="U326" s="28"/>
      <c r="V326" s="28"/>
      <c r="W326" s="29" t="s">
        <v>2223</v>
      </c>
      <c r="X326" s="29" t="s">
        <v>2224</v>
      </c>
      <c r="Y326" s="30" t="s">
        <v>3954</v>
      </c>
      <c r="Z326" s="30"/>
      <c r="AA326" s="30" t="s">
        <v>2656</v>
      </c>
      <c r="AB326" s="46" t="s">
        <v>2657</v>
      </c>
      <c r="AC326" s="66"/>
      <c r="AD326" s="21"/>
      <c r="AE326" s="32"/>
      <c r="AF326" s="32"/>
      <c r="AG326" s="32"/>
      <c r="AH326" s="32"/>
      <c r="AI326" s="32"/>
      <c r="AJ326" s="32"/>
      <c r="AK326" s="32"/>
      <c r="AL326" s="32"/>
      <c r="AM326" s="32"/>
      <c r="AN326" s="32"/>
      <c r="AO326" s="32"/>
      <c r="AP326" s="32"/>
      <c r="AQ326" s="32"/>
    </row>
    <row r="327" spans="1:43" ht="15.75" customHeight="1">
      <c r="A327" s="458" t="s">
        <v>2658</v>
      </c>
      <c r="B327" s="33" t="s">
        <v>429</v>
      </c>
      <c r="C327" s="247" t="s">
        <v>170</v>
      </c>
      <c r="D327" s="242"/>
      <c r="E327" s="52"/>
      <c r="F327" s="16" t="s">
        <v>2659</v>
      </c>
      <c r="G327" s="48"/>
      <c r="H327" s="32" t="s">
        <v>2660</v>
      </c>
      <c r="I327" s="190" t="s">
        <v>2661</v>
      </c>
      <c r="J327" s="22"/>
      <c r="K327" s="22"/>
      <c r="L327" s="22"/>
      <c r="M327" s="43" t="s">
        <v>2662</v>
      </c>
      <c r="N327" s="38" t="s">
        <v>2663</v>
      </c>
      <c r="O327" s="38" t="s">
        <v>2664</v>
      </c>
      <c r="P327" s="25"/>
      <c r="Q327" s="56" t="s">
        <v>2665</v>
      </c>
      <c r="R327" s="39" t="s">
        <v>517</v>
      </c>
      <c r="S327" s="77" t="s">
        <v>41</v>
      </c>
      <c r="T327" s="21"/>
      <c r="U327" s="28"/>
      <c r="V327" s="28"/>
      <c r="W327" s="29" t="s">
        <v>2223</v>
      </c>
      <c r="X327" s="29" t="s">
        <v>2224</v>
      </c>
      <c r="Y327" s="30" t="s">
        <v>2635</v>
      </c>
      <c r="Z327" s="30" t="s">
        <v>2666</v>
      </c>
      <c r="AA327" s="30" t="s">
        <v>2667</v>
      </c>
      <c r="AB327" s="41"/>
      <c r="AC327" s="32"/>
      <c r="AD327" s="21"/>
      <c r="AE327" s="32"/>
      <c r="AF327" s="32"/>
      <c r="AG327" s="32"/>
      <c r="AH327" s="32"/>
      <c r="AI327" s="32"/>
      <c r="AJ327" s="32"/>
      <c r="AK327" s="32"/>
      <c r="AL327" s="32"/>
      <c r="AM327" s="32"/>
      <c r="AN327" s="32"/>
      <c r="AO327" s="32"/>
      <c r="AP327" s="32"/>
      <c r="AQ327" s="32"/>
    </row>
    <row r="328" spans="1:43" ht="15.75" customHeight="1">
      <c r="A328" s="458" t="s">
        <v>2668</v>
      </c>
      <c r="B328" s="33" t="s">
        <v>429</v>
      </c>
      <c r="C328" s="248" t="s">
        <v>3774</v>
      </c>
      <c r="D328" s="244"/>
      <c r="E328" s="188"/>
      <c r="F328" s="372" t="s">
        <v>2669</v>
      </c>
      <c r="G328" s="184"/>
      <c r="H328" s="32" t="s">
        <v>2670</v>
      </c>
      <c r="I328" s="32" t="s">
        <v>2493</v>
      </c>
      <c r="J328" s="107" t="s">
        <v>2671</v>
      </c>
      <c r="K328" s="22"/>
      <c r="L328" s="22" t="s">
        <v>534</v>
      </c>
      <c r="M328" s="113" t="s">
        <v>2672</v>
      </c>
      <c r="N328" s="38" t="s">
        <v>2673</v>
      </c>
      <c r="O328" s="38"/>
      <c r="P328" s="25"/>
      <c r="Q328" s="56"/>
      <c r="R328" s="94" t="s">
        <v>537</v>
      </c>
      <c r="S328" s="77" t="s">
        <v>41</v>
      </c>
      <c r="T328" s="21"/>
      <c r="U328" s="28"/>
      <c r="V328" s="28"/>
      <c r="W328" s="29" t="s">
        <v>2223</v>
      </c>
      <c r="X328" s="29" t="s">
        <v>2224</v>
      </c>
      <c r="Y328" s="30" t="s">
        <v>2635</v>
      </c>
      <c r="Z328" s="102" t="s">
        <v>2674</v>
      </c>
      <c r="AA328" s="30"/>
      <c r="AB328" s="46" t="s">
        <v>2675</v>
      </c>
      <c r="AC328" s="69" t="s">
        <v>2676</v>
      </c>
      <c r="AD328" s="21"/>
      <c r="AE328" s="32"/>
      <c r="AF328" s="32"/>
      <c r="AG328" s="32"/>
      <c r="AH328" s="32"/>
      <c r="AI328" s="32"/>
      <c r="AJ328" s="32"/>
      <c r="AK328" s="32"/>
      <c r="AL328" s="32"/>
      <c r="AM328" s="32"/>
      <c r="AN328" s="32"/>
      <c r="AO328" s="32"/>
      <c r="AP328" s="32"/>
      <c r="AQ328" s="32"/>
    </row>
    <row r="329" spans="1:43" ht="15.75" customHeight="1">
      <c r="A329" s="458" t="s">
        <v>3989</v>
      </c>
      <c r="B329" s="33" t="s">
        <v>429</v>
      </c>
      <c r="C329" s="247" t="s">
        <v>170</v>
      </c>
      <c r="D329" s="232"/>
      <c r="E329" s="58"/>
      <c r="F329" s="16" t="s">
        <v>2677</v>
      </c>
      <c r="G329" s="32"/>
      <c r="H329" s="190" t="s">
        <v>2678</v>
      </c>
      <c r="I329" s="32" t="s">
        <v>2493</v>
      </c>
      <c r="J329" s="107" t="s">
        <v>2679</v>
      </c>
      <c r="K329" s="107"/>
      <c r="L329" s="107"/>
      <c r="M329" s="113" t="s">
        <v>2680</v>
      </c>
      <c r="N329" s="38" t="s">
        <v>2681</v>
      </c>
      <c r="O329" s="38"/>
      <c r="P329" s="25"/>
      <c r="Q329" s="56"/>
      <c r="R329" s="94" t="s">
        <v>537</v>
      </c>
      <c r="S329" s="77" t="s">
        <v>41</v>
      </c>
      <c r="T329" s="119"/>
      <c r="U329" s="120" t="s">
        <v>1084</v>
      </c>
      <c r="V329" s="122" t="s">
        <v>2682</v>
      </c>
      <c r="W329" s="29" t="s">
        <v>2223</v>
      </c>
      <c r="X329" s="29" t="s">
        <v>2224</v>
      </c>
      <c r="Y329" s="195" t="s">
        <v>2683</v>
      </c>
      <c r="Z329" s="197"/>
      <c r="AA329" s="198" t="s">
        <v>2684</v>
      </c>
      <c r="AB329" s="46" t="s">
        <v>2685</v>
      </c>
      <c r="AC329" s="199" t="s">
        <v>2686</v>
      </c>
      <c r="AD329" s="21"/>
      <c r="AE329" s="32"/>
      <c r="AF329" s="32"/>
      <c r="AG329" s="32"/>
      <c r="AH329" s="32"/>
      <c r="AI329" s="32"/>
      <c r="AJ329" s="32"/>
      <c r="AK329" s="32"/>
      <c r="AL329" s="32"/>
      <c r="AM329" s="32"/>
      <c r="AN329" s="32"/>
      <c r="AO329" s="32"/>
      <c r="AP329" s="32"/>
      <c r="AQ329" s="32"/>
    </row>
    <row r="330" spans="1:43" ht="15.75" customHeight="1">
      <c r="A330" s="458" t="s">
        <v>2687</v>
      </c>
      <c r="B330" s="33" t="s">
        <v>429</v>
      </c>
      <c r="C330" s="247" t="s">
        <v>170</v>
      </c>
      <c r="D330" s="242"/>
      <c r="E330" s="52"/>
      <c r="F330" s="16" t="s">
        <v>2688</v>
      </c>
      <c r="G330" s="48"/>
      <c r="H330" s="190" t="s">
        <v>2689</v>
      </c>
      <c r="I330" s="32" t="s">
        <v>2690</v>
      </c>
      <c r="J330" s="22"/>
      <c r="K330" s="22"/>
      <c r="L330" s="22" t="s">
        <v>795</v>
      </c>
      <c r="M330" s="113" t="s">
        <v>2691</v>
      </c>
      <c r="N330" s="38" t="s">
        <v>2692</v>
      </c>
      <c r="O330" s="38" t="s">
        <v>2693</v>
      </c>
      <c r="P330" s="25"/>
      <c r="Q330" s="56" t="s">
        <v>2694</v>
      </c>
      <c r="R330" s="39" t="s">
        <v>517</v>
      </c>
      <c r="S330" s="77" t="s">
        <v>41</v>
      </c>
      <c r="T330" s="119"/>
      <c r="U330" s="120"/>
      <c r="V330" s="120"/>
      <c r="W330" s="29" t="s">
        <v>2223</v>
      </c>
      <c r="X330" s="29" t="s">
        <v>2224</v>
      </c>
      <c r="Y330" s="30" t="s">
        <v>2695</v>
      </c>
      <c r="Z330" s="30"/>
      <c r="AA330" s="30" t="s">
        <v>2696</v>
      </c>
      <c r="AB330" s="41"/>
      <c r="AC330" s="32"/>
      <c r="AD330" s="21"/>
      <c r="AE330" s="32"/>
      <c r="AF330" s="32"/>
      <c r="AG330" s="32"/>
      <c r="AH330" s="32"/>
      <c r="AI330" s="32"/>
      <c r="AJ330" s="32"/>
      <c r="AK330" s="32"/>
      <c r="AL330" s="32"/>
      <c r="AM330" s="32"/>
      <c r="AN330" s="32"/>
      <c r="AO330" s="32"/>
      <c r="AP330" s="32"/>
      <c r="AQ330" s="32"/>
    </row>
    <row r="331" spans="1:43" ht="15.75" customHeight="1">
      <c r="A331" s="458" t="s">
        <v>2697</v>
      </c>
      <c r="B331" s="33" t="s">
        <v>429</v>
      </c>
      <c r="C331" s="246" t="s">
        <v>2698</v>
      </c>
      <c r="D331" s="242"/>
      <c r="E331" s="52"/>
      <c r="F331" s="16" t="s">
        <v>2699</v>
      </c>
      <c r="G331" s="48" t="s">
        <v>2700</v>
      </c>
      <c r="H331" s="32" t="s">
        <v>2701</v>
      </c>
      <c r="I331" s="185" t="s">
        <v>2702</v>
      </c>
      <c r="J331" s="107" t="s">
        <v>2703</v>
      </c>
      <c r="K331" s="107"/>
      <c r="L331" s="22" t="s">
        <v>2704</v>
      </c>
      <c r="M331" s="113" t="s">
        <v>136</v>
      </c>
      <c r="N331" s="38" t="s">
        <v>2705</v>
      </c>
      <c r="O331" s="38"/>
      <c r="P331" s="25"/>
      <c r="Q331" s="56"/>
      <c r="R331" s="39" t="s">
        <v>634</v>
      </c>
      <c r="S331" s="77" t="s">
        <v>41</v>
      </c>
      <c r="T331" s="21" t="s">
        <v>2706</v>
      </c>
      <c r="U331" s="28"/>
      <c r="V331" s="28"/>
      <c r="W331" s="29" t="s">
        <v>2223</v>
      </c>
      <c r="X331" s="29" t="s">
        <v>2224</v>
      </c>
      <c r="Y331" s="30" t="s">
        <v>2635</v>
      </c>
      <c r="Z331" s="30"/>
      <c r="AA331" s="30"/>
      <c r="AB331" s="41"/>
      <c r="AC331" s="32"/>
      <c r="AD331" s="21"/>
      <c r="AE331" s="32"/>
      <c r="AF331" s="32"/>
      <c r="AG331" s="32"/>
      <c r="AH331" s="32"/>
      <c r="AI331" s="32"/>
      <c r="AJ331" s="32"/>
      <c r="AK331" s="32"/>
      <c r="AL331" s="32"/>
      <c r="AM331" s="32"/>
      <c r="AN331" s="32"/>
      <c r="AO331" s="32"/>
      <c r="AP331" s="32"/>
      <c r="AQ331" s="32"/>
    </row>
    <row r="332" spans="1:43" ht="15.75" customHeight="1">
      <c r="A332" s="458" t="s">
        <v>2707</v>
      </c>
      <c r="B332" s="33" t="s">
        <v>429</v>
      </c>
      <c r="C332" s="247" t="s">
        <v>170</v>
      </c>
      <c r="D332" s="232"/>
      <c r="E332" s="58"/>
      <c r="F332" s="47" t="s">
        <v>2708</v>
      </c>
      <c r="G332" s="48" t="s">
        <v>2709</v>
      </c>
      <c r="H332" s="191" t="s">
        <v>2710</v>
      </c>
      <c r="I332" s="185" t="s">
        <v>2711</v>
      </c>
      <c r="J332" s="22" t="s">
        <v>2712</v>
      </c>
      <c r="K332" s="22"/>
      <c r="L332" s="22"/>
      <c r="M332" s="113" t="s">
        <v>136</v>
      </c>
      <c r="N332" s="38" t="s">
        <v>2713</v>
      </c>
      <c r="O332" s="38"/>
      <c r="P332" s="25"/>
      <c r="Q332" s="56"/>
      <c r="R332" s="39" t="s">
        <v>634</v>
      </c>
      <c r="S332" s="77" t="s">
        <v>41</v>
      </c>
      <c r="T332" s="21"/>
      <c r="U332" s="28"/>
      <c r="V332" s="28"/>
      <c r="W332" s="29" t="s">
        <v>2223</v>
      </c>
      <c r="X332" s="29" t="s">
        <v>2224</v>
      </c>
      <c r="Y332" s="30" t="s">
        <v>2635</v>
      </c>
      <c r="Z332" s="30"/>
      <c r="AA332" s="30"/>
      <c r="AB332" s="41"/>
      <c r="AC332" s="32"/>
      <c r="AD332" s="21"/>
      <c r="AE332" s="32"/>
      <c r="AF332" s="32"/>
      <c r="AG332" s="32"/>
      <c r="AH332" s="32"/>
      <c r="AI332" s="32"/>
      <c r="AJ332" s="32"/>
      <c r="AK332" s="32"/>
      <c r="AL332" s="32"/>
      <c r="AM332" s="32"/>
      <c r="AN332" s="32"/>
      <c r="AO332" s="32"/>
      <c r="AP332" s="32"/>
      <c r="AQ332" s="32"/>
    </row>
    <row r="333" spans="1:43" ht="15.75" customHeight="1">
      <c r="A333" s="458" t="s">
        <v>2714</v>
      </c>
      <c r="B333" s="33" t="s">
        <v>429</v>
      </c>
      <c r="C333" s="247" t="s">
        <v>170</v>
      </c>
      <c r="D333" s="242"/>
      <c r="E333" s="52"/>
      <c r="F333" s="48" t="s">
        <v>2271</v>
      </c>
      <c r="G333" s="48"/>
      <c r="H333" s="32" t="s">
        <v>2715</v>
      </c>
      <c r="I333" s="190" t="s">
        <v>2493</v>
      </c>
      <c r="J333" s="22"/>
      <c r="K333" s="22"/>
      <c r="L333" s="22"/>
      <c r="M333" s="113" t="s">
        <v>2716</v>
      </c>
      <c r="N333" s="38" t="s">
        <v>2717</v>
      </c>
      <c r="O333" s="38"/>
      <c r="P333" s="25"/>
      <c r="Q333" s="56"/>
      <c r="R333" s="96" t="s">
        <v>537</v>
      </c>
      <c r="S333" s="77" t="s">
        <v>41</v>
      </c>
      <c r="T333" s="21"/>
      <c r="U333" s="28"/>
      <c r="V333" s="28"/>
      <c r="W333" s="29" t="s">
        <v>2223</v>
      </c>
      <c r="X333" s="29" t="s">
        <v>2224</v>
      </c>
      <c r="Y333" s="30" t="s">
        <v>2635</v>
      </c>
      <c r="Z333" s="164"/>
      <c r="AA333" s="30" t="s">
        <v>2718</v>
      </c>
      <c r="AB333" s="41"/>
      <c r="AC333" s="32"/>
      <c r="AD333" s="21"/>
      <c r="AE333" s="32"/>
      <c r="AF333" s="32"/>
      <c r="AG333" s="32"/>
      <c r="AH333" s="32"/>
      <c r="AI333" s="32"/>
      <c r="AJ333" s="32"/>
      <c r="AK333" s="32"/>
      <c r="AL333" s="32"/>
      <c r="AM333" s="32"/>
      <c r="AN333" s="32"/>
      <c r="AO333" s="32"/>
      <c r="AP333" s="32"/>
      <c r="AQ333" s="32"/>
    </row>
    <row r="334" spans="1:43" ht="15.75" customHeight="1">
      <c r="A334" s="458" t="s">
        <v>2719</v>
      </c>
      <c r="B334" s="33" t="s">
        <v>429</v>
      </c>
      <c r="C334" s="246" t="s">
        <v>2720</v>
      </c>
      <c r="D334" s="232"/>
      <c r="E334" s="58"/>
      <c r="F334" s="47" t="s">
        <v>2721</v>
      </c>
      <c r="G334" s="48" t="s">
        <v>2722</v>
      </c>
      <c r="H334" s="33" t="s">
        <v>2723</v>
      </c>
      <c r="I334" s="190" t="s">
        <v>2493</v>
      </c>
      <c r="J334" s="82"/>
      <c r="K334" s="82"/>
      <c r="L334" s="22"/>
      <c r="M334" s="113" t="s">
        <v>649</v>
      </c>
      <c r="N334" s="65" t="s">
        <v>2724</v>
      </c>
      <c r="O334" s="38"/>
      <c r="P334" s="25"/>
      <c r="Q334" s="56"/>
      <c r="R334" s="94" t="s">
        <v>1095</v>
      </c>
      <c r="S334" s="77" t="s">
        <v>41</v>
      </c>
      <c r="T334" s="21"/>
      <c r="U334" s="28"/>
      <c r="V334" s="28"/>
      <c r="W334" s="29" t="s">
        <v>2223</v>
      </c>
      <c r="X334" s="29" t="s">
        <v>2224</v>
      </c>
      <c r="Y334" s="30" t="s">
        <v>2284</v>
      </c>
      <c r="Z334" s="102"/>
      <c r="AA334" s="30"/>
      <c r="AB334" s="41"/>
      <c r="AC334" s="32"/>
      <c r="AD334" s="21"/>
      <c r="AE334" s="32"/>
      <c r="AF334" s="32"/>
      <c r="AG334" s="32"/>
      <c r="AH334" s="32"/>
      <c r="AI334" s="32"/>
      <c r="AJ334" s="32"/>
      <c r="AK334" s="32"/>
      <c r="AL334" s="32"/>
      <c r="AM334" s="32"/>
      <c r="AN334" s="32"/>
      <c r="AO334" s="32"/>
      <c r="AP334" s="32"/>
      <c r="AQ334" s="32"/>
    </row>
    <row r="335" spans="1:43" ht="15.75" customHeight="1">
      <c r="A335" s="458" t="s">
        <v>2725</v>
      </c>
      <c r="B335" s="33" t="s">
        <v>429</v>
      </c>
      <c r="C335" s="247" t="s">
        <v>170</v>
      </c>
      <c r="D335" s="232"/>
      <c r="E335" s="58"/>
      <c r="F335" s="16" t="s">
        <v>2726</v>
      </c>
      <c r="G335" s="48"/>
      <c r="H335" s="32" t="s">
        <v>2727</v>
      </c>
      <c r="I335" s="185" t="s">
        <v>2493</v>
      </c>
      <c r="J335" s="35"/>
      <c r="K335" s="22"/>
      <c r="L335" s="22" t="s">
        <v>2728</v>
      </c>
      <c r="M335" s="113" t="s">
        <v>2680</v>
      </c>
      <c r="N335" s="38" t="s">
        <v>2729</v>
      </c>
      <c r="O335" s="294"/>
      <c r="P335" s="124"/>
      <c r="Q335" s="56"/>
      <c r="R335" s="94" t="s">
        <v>537</v>
      </c>
      <c r="S335" s="77" t="s">
        <v>41</v>
      </c>
      <c r="T335" s="21" t="s">
        <v>2730</v>
      </c>
      <c r="U335" s="28"/>
      <c r="V335" s="28"/>
      <c r="W335" s="29"/>
      <c r="X335" s="29"/>
      <c r="Y335" s="30"/>
      <c r="Z335" s="197"/>
      <c r="AA335" s="30" t="s">
        <v>2731</v>
      </c>
      <c r="AB335" s="46" t="s">
        <v>2732</v>
      </c>
      <c r="AC335" s="32"/>
      <c r="AD335" s="21"/>
      <c r="AE335" s="32"/>
      <c r="AF335" s="32"/>
      <c r="AG335" s="32"/>
      <c r="AH335" s="32"/>
      <c r="AI335" s="32"/>
      <c r="AJ335" s="32"/>
      <c r="AK335" s="32"/>
      <c r="AL335" s="32"/>
      <c r="AM335" s="32"/>
      <c r="AN335" s="32"/>
      <c r="AO335" s="32"/>
      <c r="AP335" s="32"/>
      <c r="AQ335" s="32"/>
    </row>
    <row r="336" spans="1:43" ht="15.75" customHeight="1">
      <c r="A336" s="458" t="s">
        <v>2733</v>
      </c>
      <c r="B336" s="14" t="s">
        <v>429</v>
      </c>
      <c r="C336" s="247" t="s">
        <v>170</v>
      </c>
      <c r="D336" s="232"/>
      <c r="E336" s="58"/>
      <c r="F336" s="47" t="s">
        <v>2734</v>
      </c>
      <c r="G336" s="48" t="s">
        <v>2735</v>
      </c>
      <c r="H336" s="191" t="s">
        <v>2736</v>
      </c>
      <c r="I336" s="185" t="s">
        <v>2737</v>
      </c>
      <c r="J336" s="22"/>
      <c r="K336" s="22"/>
      <c r="L336" s="22" t="s">
        <v>2738</v>
      </c>
      <c r="M336" s="200" t="s">
        <v>2739</v>
      </c>
      <c r="N336" s="38" t="s">
        <v>2740</v>
      </c>
      <c r="O336" s="38"/>
      <c r="P336" s="74" t="s">
        <v>1891</v>
      </c>
      <c r="Q336" s="56" t="s">
        <v>1892</v>
      </c>
      <c r="R336" s="391" t="s">
        <v>1542</v>
      </c>
      <c r="S336" s="135" t="s">
        <v>41</v>
      </c>
      <c r="T336" s="21"/>
      <c r="U336" s="290" t="s">
        <v>1891</v>
      </c>
      <c r="V336" s="290" t="s">
        <v>1892</v>
      </c>
      <c r="W336" s="29"/>
      <c r="X336" s="29"/>
      <c r="Y336" s="30" t="s">
        <v>2741</v>
      </c>
      <c r="Z336" s="30"/>
      <c r="AA336" s="30"/>
      <c r="AB336" s="46" t="s">
        <v>2742</v>
      </c>
      <c r="AC336" s="32" t="s">
        <v>1894</v>
      </c>
      <c r="AD336" s="21"/>
      <c r="AE336" s="32"/>
      <c r="AF336" s="32"/>
      <c r="AG336" s="32"/>
      <c r="AH336" s="32"/>
      <c r="AI336" s="32"/>
      <c r="AJ336" s="32"/>
      <c r="AK336" s="32"/>
      <c r="AL336" s="32"/>
      <c r="AM336" s="32"/>
      <c r="AN336" s="32"/>
      <c r="AO336" s="32"/>
      <c r="AP336" s="32"/>
      <c r="AQ336" s="32"/>
    </row>
    <row r="337" spans="1:43" ht="15.75" customHeight="1">
      <c r="A337" s="458" t="s">
        <v>2743</v>
      </c>
      <c r="B337" s="33" t="s">
        <v>429</v>
      </c>
      <c r="C337" s="247" t="s">
        <v>170</v>
      </c>
      <c r="D337" s="232"/>
      <c r="E337" s="58"/>
      <c r="F337" s="47" t="s">
        <v>2744</v>
      </c>
      <c r="G337" s="48"/>
      <c r="H337" s="32" t="s">
        <v>2745</v>
      </c>
      <c r="I337" s="185" t="s">
        <v>2746</v>
      </c>
      <c r="J337" s="82"/>
      <c r="K337" s="82"/>
      <c r="L337" s="82" t="s">
        <v>2747</v>
      </c>
      <c r="M337" s="296" t="s">
        <v>2748</v>
      </c>
      <c r="N337" s="38" t="s">
        <v>2749</v>
      </c>
      <c r="O337" s="38" t="s">
        <v>2750</v>
      </c>
      <c r="P337" s="25"/>
      <c r="Q337" s="56" t="s">
        <v>2751</v>
      </c>
      <c r="R337" s="39" t="s">
        <v>1730</v>
      </c>
      <c r="S337" s="77" t="s">
        <v>41</v>
      </c>
      <c r="T337" s="104"/>
      <c r="U337" s="105"/>
      <c r="V337" s="105"/>
      <c r="W337" s="29"/>
      <c r="X337" s="29"/>
      <c r="Y337" s="30"/>
      <c r="Z337" s="30"/>
      <c r="AA337" s="30"/>
      <c r="AB337" s="41"/>
      <c r="AC337" s="32"/>
      <c r="AD337" s="21"/>
      <c r="AE337" s="32"/>
      <c r="AF337" s="32"/>
      <c r="AG337" s="32"/>
      <c r="AH337" s="32"/>
      <c r="AI337" s="32"/>
      <c r="AJ337" s="32"/>
      <c r="AK337" s="32"/>
      <c r="AL337" s="32"/>
      <c r="AM337" s="32"/>
      <c r="AN337" s="32"/>
      <c r="AO337" s="32"/>
      <c r="AP337" s="32"/>
      <c r="AQ337" s="32"/>
    </row>
    <row r="338" spans="1:43" ht="15.75" customHeight="1">
      <c r="A338" s="458" t="s">
        <v>2752</v>
      </c>
      <c r="B338" s="33" t="s">
        <v>429</v>
      </c>
      <c r="C338" s="247" t="s">
        <v>170</v>
      </c>
      <c r="D338" s="242"/>
      <c r="E338" s="52"/>
      <c r="F338" s="48" t="s">
        <v>2271</v>
      </c>
      <c r="G338" s="48"/>
      <c r="H338" s="32" t="s">
        <v>3973</v>
      </c>
      <c r="I338" s="185" t="s">
        <v>2753</v>
      </c>
      <c r="J338" s="82"/>
      <c r="K338" s="82"/>
      <c r="L338" s="22" t="s">
        <v>2754</v>
      </c>
      <c r="M338" s="97" t="s">
        <v>2755</v>
      </c>
      <c r="N338" s="38" t="s">
        <v>3974</v>
      </c>
      <c r="O338" s="38"/>
      <c r="P338" s="25" t="s">
        <v>2756</v>
      </c>
      <c r="Q338" s="56" t="s">
        <v>2757</v>
      </c>
      <c r="R338" s="428" t="s">
        <v>3972</v>
      </c>
      <c r="S338" s="77" t="s">
        <v>41</v>
      </c>
      <c r="T338" s="21" t="s">
        <v>2758</v>
      </c>
      <c r="U338" s="28"/>
      <c r="V338" s="28"/>
      <c r="W338" s="29"/>
      <c r="X338" s="29"/>
      <c r="Y338" s="30"/>
      <c r="Z338" s="30"/>
      <c r="AA338" s="30"/>
      <c r="AB338" s="41"/>
      <c r="AC338" s="32"/>
      <c r="AD338" s="21"/>
      <c r="AE338" s="32"/>
      <c r="AF338" s="32"/>
      <c r="AG338" s="32"/>
      <c r="AH338" s="32"/>
      <c r="AI338" s="32"/>
      <c r="AJ338" s="32"/>
      <c r="AK338" s="32"/>
      <c r="AL338" s="32"/>
      <c r="AM338" s="32"/>
      <c r="AN338" s="32"/>
      <c r="AO338" s="32"/>
      <c r="AP338" s="32"/>
      <c r="AQ338" s="32"/>
    </row>
    <row r="339" spans="1:43" ht="15.75" customHeight="1">
      <c r="A339" s="458" t="s">
        <v>2759</v>
      </c>
      <c r="B339" s="33" t="s">
        <v>429</v>
      </c>
      <c r="C339" s="246" t="s">
        <v>2760</v>
      </c>
      <c r="D339" s="231"/>
      <c r="E339" s="58"/>
      <c r="F339" s="47" t="s">
        <v>2761</v>
      </c>
      <c r="G339" s="32"/>
      <c r="H339" s="190" t="s">
        <v>2762</v>
      </c>
      <c r="I339" s="190" t="s">
        <v>2493</v>
      </c>
      <c r="J339" s="98"/>
      <c r="K339" s="103"/>
      <c r="L339" s="103" t="s">
        <v>2763</v>
      </c>
      <c r="M339" s="113" t="s">
        <v>2764</v>
      </c>
      <c r="N339" s="38" t="s">
        <v>2765</v>
      </c>
      <c r="O339" s="294"/>
      <c r="P339" s="124"/>
      <c r="Q339" s="56"/>
      <c r="R339" s="96" t="s">
        <v>537</v>
      </c>
      <c r="S339" s="77" t="s">
        <v>41</v>
      </c>
      <c r="T339" s="21"/>
      <c r="U339" s="28"/>
      <c r="V339" s="28"/>
      <c r="W339" s="29" t="s">
        <v>2223</v>
      </c>
      <c r="X339" s="29" t="s">
        <v>2224</v>
      </c>
      <c r="Y339" s="30" t="s">
        <v>2766</v>
      </c>
      <c r="Z339" s="30"/>
      <c r="AA339" s="30" t="s">
        <v>2767</v>
      </c>
      <c r="AB339" s="41" t="s">
        <v>2768</v>
      </c>
      <c r="AC339" s="32"/>
      <c r="AD339" s="21"/>
      <c r="AE339" s="32"/>
      <c r="AF339" s="32"/>
      <c r="AG339" s="32"/>
      <c r="AH339" s="32"/>
      <c r="AI339" s="32"/>
      <c r="AJ339" s="32"/>
      <c r="AK339" s="32"/>
      <c r="AL339" s="32"/>
      <c r="AM339" s="32"/>
      <c r="AN339" s="32"/>
      <c r="AO339" s="32"/>
      <c r="AP339" s="32"/>
      <c r="AQ339" s="32"/>
    </row>
    <row r="340" spans="1:43" ht="15.75" customHeight="1">
      <c r="A340" s="458" t="s">
        <v>2769</v>
      </c>
      <c r="B340" s="33" t="s">
        <v>429</v>
      </c>
      <c r="C340" s="246" t="s">
        <v>2770</v>
      </c>
      <c r="D340" s="242"/>
      <c r="E340" s="52"/>
      <c r="F340" s="16" t="s">
        <v>2771</v>
      </c>
      <c r="G340" s="48"/>
      <c r="H340" s="32" t="s">
        <v>2772</v>
      </c>
      <c r="I340" s="185" t="s">
        <v>2773</v>
      </c>
      <c r="J340" s="103" t="s">
        <v>2774</v>
      </c>
      <c r="K340" s="103"/>
      <c r="L340" s="201"/>
      <c r="M340" s="113" t="s">
        <v>1956</v>
      </c>
      <c r="N340" s="38" t="s">
        <v>2775</v>
      </c>
      <c r="O340" s="294"/>
      <c r="P340" s="70" t="s">
        <v>2776</v>
      </c>
      <c r="Q340" s="56" t="s">
        <v>2777</v>
      </c>
      <c r="R340" s="39" t="s">
        <v>370</v>
      </c>
      <c r="S340" s="77" t="s">
        <v>41</v>
      </c>
      <c r="T340" s="84"/>
      <c r="U340" s="85" t="s">
        <v>187</v>
      </c>
      <c r="V340" s="140" t="s">
        <v>188</v>
      </c>
      <c r="W340" s="29" t="s">
        <v>2223</v>
      </c>
      <c r="X340" s="29" t="s">
        <v>2224</v>
      </c>
      <c r="Y340" s="30" t="s">
        <v>2778</v>
      </c>
      <c r="Z340" s="30"/>
      <c r="AA340" s="30"/>
      <c r="AB340" s="46" t="s">
        <v>2779</v>
      </c>
      <c r="AC340" s="32"/>
      <c r="AD340" s="21"/>
      <c r="AE340" s="32"/>
      <c r="AF340" s="32"/>
      <c r="AG340" s="32"/>
      <c r="AH340" s="32"/>
      <c r="AI340" s="32"/>
      <c r="AJ340" s="32"/>
      <c r="AK340" s="32"/>
      <c r="AL340" s="32"/>
      <c r="AM340" s="32"/>
      <c r="AN340" s="32"/>
      <c r="AO340" s="32"/>
      <c r="AP340" s="32"/>
      <c r="AQ340" s="32"/>
    </row>
    <row r="341" spans="1:43" ht="15.75" customHeight="1">
      <c r="A341" s="458" t="s">
        <v>2780</v>
      </c>
      <c r="B341" s="33" t="s">
        <v>429</v>
      </c>
      <c r="C341" s="253" t="s">
        <v>2781</v>
      </c>
      <c r="D341" s="232"/>
      <c r="E341" s="58"/>
      <c r="F341" s="16" t="s">
        <v>2782</v>
      </c>
      <c r="G341" s="32"/>
      <c r="H341" s="202" t="s">
        <v>2783</v>
      </c>
      <c r="I341" s="185" t="s">
        <v>2773</v>
      </c>
      <c r="J341" s="98"/>
      <c r="K341" s="82"/>
      <c r="L341" s="82" t="s">
        <v>2784</v>
      </c>
      <c r="M341" s="135" t="s">
        <v>2785</v>
      </c>
      <c r="N341" s="54" t="s">
        <v>2786</v>
      </c>
      <c r="O341" s="54"/>
      <c r="P341" s="90" t="s">
        <v>2776</v>
      </c>
      <c r="Q341" s="56" t="s">
        <v>2777</v>
      </c>
      <c r="R341" s="39" t="s">
        <v>370</v>
      </c>
      <c r="S341" s="77" t="s">
        <v>41</v>
      </c>
      <c r="T341" s="21" t="s">
        <v>2787</v>
      </c>
      <c r="U341" s="28"/>
      <c r="V341" s="28"/>
      <c r="W341" s="29"/>
      <c r="X341" s="29"/>
      <c r="Y341" s="30"/>
      <c r="Z341" s="102"/>
      <c r="AA341" s="30"/>
      <c r="AB341" s="41"/>
      <c r="AC341" s="32"/>
      <c r="AD341" s="21"/>
      <c r="AE341" s="32"/>
      <c r="AF341" s="32"/>
      <c r="AG341" s="32"/>
      <c r="AH341" s="32"/>
      <c r="AI341" s="32"/>
      <c r="AJ341" s="32"/>
      <c r="AK341" s="32"/>
      <c r="AL341" s="32"/>
      <c r="AM341" s="32"/>
      <c r="AN341" s="32"/>
      <c r="AO341" s="32"/>
      <c r="AP341" s="32"/>
      <c r="AQ341" s="32"/>
    </row>
    <row r="342" spans="1:43" ht="15.75" customHeight="1">
      <c r="A342" s="458" t="s">
        <v>3891</v>
      </c>
      <c r="B342" s="33" t="s">
        <v>429</v>
      </c>
      <c r="C342" s="246" t="s">
        <v>2788</v>
      </c>
      <c r="D342" s="232"/>
      <c r="E342" s="58"/>
      <c r="F342" s="47" t="s">
        <v>2789</v>
      </c>
      <c r="G342" s="32"/>
      <c r="H342" s="203" t="s">
        <v>2790</v>
      </c>
      <c r="I342" s="378" t="s">
        <v>2493</v>
      </c>
      <c r="J342" s="22" t="s">
        <v>2791</v>
      </c>
      <c r="K342" s="22"/>
      <c r="L342" s="22"/>
      <c r="M342" s="135" t="s">
        <v>2792</v>
      </c>
      <c r="N342" s="54" t="s">
        <v>2793</v>
      </c>
      <c r="O342" s="54"/>
      <c r="P342" s="55"/>
      <c r="Q342" s="56"/>
      <c r="R342" s="96" t="s">
        <v>537</v>
      </c>
      <c r="S342" s="77" t="s">
        <v>41</v>
      </c>
      <c r="T342" s="21"/>
      <c r="U342" s="28"/>
      <c r="V342" s="28"/>
      <c r="W342" s="29" t="s">
        <v>2223</v>
      </c>
      <c r="X342" s="29" t="s">
        <v>2224</v>
      </c>
      <c r="Y342" s="30" t="s">
        <v>2794</v>
      </c>
      <c r="Z342" s="418"/>
      <c r="AA342" s="30" t="s">
        <v>2795</v>
      </c>
      <c r="AB342" s="46" t="s">
        <v>2796</v>
      </c>
      <c r="AC342" s="32"/>
      <c r="AD342" s="21"/>
      <c r="AE342" s="32"/>
      <c r="AF342" s="32"/>
      <c r="AG342" s="32"/>
      <c r="AH342" s="32"/>
      <c r="AI342" s="32"/>
      <c r="AJ342" s="32"/>
      <c r="AK342" s="32"/>
      <c r="AL342" s="32"/>
      <c r="AM342" s="32"/>
      <c r="AN342" s="32"/>
      <c r="AO342" s="32"/>
      <c r="AP342" s="32"/>
      <c r="AQ342" s="32"/>
    </row>
    <row r="343" spans="1:43" ht="15.75" customHeight="1">
      <c r="A343" s="458" t="s">
        <v>2797</v>
      </c>
      <c r="B343" s="14" t="s">
        <v>429</v>
      </c>
      <c r="C343" s="247" t="s">
        <v>170</v>
      </c>
      <c r="D343" s="232"/>
      <c r="E343" s="58"/>
      <c r="F343" s="265" t="s">
        <v>2798</v>
      </c>
      <c r="G343" s="32"/>
      <c r="H343" s="203" t="s">
        <v>2799</v>
      </c>
      <c r="I343" s="99"/>
      <c r="J343" s="22"/>
      <c r="K343" s="22"/>
      <c r="L343" s="22"/>
      <c r="M343" s="135" t="s">
        <v>649</v>
      </c>
      <c r="N343" s="54" t="s">
        <v>2800</v>
      </c>
      <c r="O343" s="54"/>
      <c r="P343" s="55"/>
      <c r="Q343" s="56"/>
      <c r="R343" s="32" t="s">
        <v>537</v>
      </c>
      <c r="S343" s="77" t="s">
        <v>41</v>
      </c>
      <c r="T343" s="21"/>
      <c r="U343" s="28"/>
      <c r="V343" s="28"/>
      <c r="W343" s="29" t="s">
        <v>2223</v>
      </c>
      <c r="X343" s="29" t="s">
        <v>2224</v>
      </c>
      <c r="Y343" s="30" t="s">
        <v>2801</v>
      </c>
      <c r="Z343" s="197"/>
      <c r="AA343" s="30" t="s">
        <v>2802</v>
      </c>
      <c r="AB343" s="46" t="s">
        <v>2803</v>
      </c>
      <c r="AC343" s="32"/>
      <c r="AD343" s="21"/>
      <c r="AE343" s="32"/>
      <c r="AF343" s="32"/>
      <c r="AG343" s="32"/>
      <c r="AH343" s="32"/>
      <c r="AI343" s="32"/>
      <c r="AJ343" s="32"/>
      <c r="AK343" s="32"/>
      <c r="AL343" s="32"/>
      <c r="AM343" s="32"/>
      <c r="AN343" s="32"/>
      <c r="AO343" s="32"/>
      <c r="AP343" s="32"/>
      <c r="AQ343" s="32"/>
    </row>
    <row r="344" spans="1:43" ht="15.75" customHeight="1">
      <c r="A344" s="458" t="s">
        <v>2804</v>
      </c>
      <c r="B344" s="33" t="s">
        <v>429</v>
      </c>
      <c r="C344" s="246" t="s">
        <v>2805</v>
      </c>
      <c r="D344" s="232"/>
      <c r="E344" s="58"/>
      <c r="F344" s="16" t="s">
        <v>2806</v>
      </c>
      <c r="G344" s="32"/>
      <c r="H344" s="203" t="s">
        <v>4018</v>
      </c>
      <c r="I344" s="190" t="s">
        <v>2493</v>
      </c>
      <c r="J344" s="82"/>
      <c r="K344" s="82"/>
      <c r="L344" s="82"/>
      <c r="M344" s="135" t="s">
        <v>2807</v>
      </c>
      <c r="N344" s="294" t="s">
        <v>2808</v>
      </c>
      <c r="O344" s="294" t="s">
        <v>2809</v>
      </c>
      <c r="P344" s="25"/>
      <c r="Q344" s="56" t="s">
        <v>2810</v>
      </c>
      <c r="R344" s="32" t="s">
        <v>517</v>
      </c>
      <c r="S344" s="77" t="s">
        <v>41</v>
      </c>
      <c r="T344" s="21"/>
      <c r="U344" s="28"/>
      <c r="V344" s="28"/>
      <c r="W344" s="29" t="s">
        <v>2223</v>
      </c>
      <c r="X344" s="29" t="s">
        <v>2224</v>
      </c>
      <c r="Y344" s="30" t="s">
        <v>2801</v>
      </c>
      <c r="Z344" s="30" t="s">
        <v>2811</v>
      </c>
      <c r="AA344" s="30" t="s">
        <v>2812</v>
      </c>
      <c r="AB344" s="41"/>
      <c r="AC344" s="32"/>
      <c r="AD344" s="21"/>
      <c r="AE344" s="32"/>
      <c r="AF344" s="32"/>
      <c r="AG344" s="32"/>
      <c r="AH344" s="32"/>
      <c r="AI344" s="32"/>
      <c r="AJ344" s="32"/>
      <c r="AK344" s="32"/>
      <c r="AL344" s="32"/>
      <c r="AM344" s="32"/>
      <c r="AN344" s="32"/>
      <c r="AO344" s="32"/>
      <c r="AP344" s="32"/>
      <c r="AQ344" s="32"/>
    </row>
    <row r="345" spans="1:43" ht="15.75" customHeight="1">
      <c r="A345" s="458" t="s">
        <v>3892</v>
      </c>
      <c r="B345" s="33" t="s">
        <v>429</v>
      </c>
      <c r="C345" s="246" t="s">
        <v>2813</v>
      </c>
      <c r="D345" s="232"/>
      <c r="E345" s="58"/>
      <c r="F345" s="16" t="s">
        <v>2814</v>
      </c>
      <c r="G345" s="32" t="s">
        <v>2815</v>
      </c>
      <c r="H345" s="191" t="s">
        <v>2816</v>
      </c>
      <c r="I345" s="185" t="s">
        <v>2817</v>
      </c>
      <c r="J345" s="22"/>
      <c r="K345" s="22"/>
      <c r="L345" s="22" t="s">
        <v>795</v>
      </c>
      <c r="M345" s="135" t="s">
        <v>2818</v>
      </c>
      <c r="N345" s="131" t="s">
        <v>2819</v>
      </c>
      <c r="O345" s="131"/>
      <c r="P345" s="25" t="s">
        <v>2820</v>
      </c>
      <c r="Q345" s="56" t="s">
        <v>2821</v>
      </c>
      <c r="R345" s="115" t="s">
        <v>79</v>
      </c>
      <c r="S345" s="77" t="s">
        <v>41</v>
      </c>
      <c r="T345" s="21"/>
      <c r="U345" s="28"/>
      <c r="V345" s="28"/>
      <c r="W345" s="111" t="s">
        <v>2223</v>
      </c>
      <c r="X345" s="111" t="s">
        <v>2224</v>
      </c>
      <c r="Y345" s="30" t="s">
        <v>2822</v>
      </c>
      <c r="Z345" s="30"/>
      <c r="AA345" s="30"/>
      <c r="AB345" s="41"/>
      <c r="AC345" s="32"/>
      <c r="AD345" s="21"/>
      <c r="AE345" s="32"/>
      <c r="AF345" s="32"/>
      <c r="AG345" s="32"/>
      <c r="AH345" s="32"/>
      <c r="AI345" s="32"/>
      <c r="AJ345" s="32"/>
      <c r="AK345" s="32"/>
      <c r="AL345" s="32"/>
      <c r="AM345" s="32"/>
      <c r="AN345" s="32"/>
      <c r="AO345" s="32"/>
      <c r="AP345" s="32"/>
      <c r="AQ345" s="32"/>
    </row>
    <row r="346" spans="1:43" ht="15.75" customHeight="1">
      <c r="A346" s="458" t="s">
        <v>3990</v>
      </c>
      <c r="B346" s="33" t="s">
        <v>429</v>
      </c>
      <c r="C346" s="247" t="s">
        <v>170</v>
      </c>
      <c r="D346" s="232"/>
      <c r="E346" s="58"/>
      <c r="F346" s="16" t="s">
        <v>2823</v>
      </c>
      <c r="G346" s="32"/>
      <c r="H346" s="203" t="s">
        <v>2824</v>
      </c>
      <c r="I346" s="185" t="s">
        <v>2493</v>
      </c>
      <c r="J346" s="22"/>
      <c r="K346" s="22"/>
      <c r="L346" s="22" t="s">
        <v>1276</v>
      </c>
      <c r="M346" s="303" t="s">
        <v>649</v>
      </c>
      <c r="N346" s="38" t="s">
        <v>2825</v>
      </c>
      <c r="O346" s="38" t="s">
        <v>2826</v>
      </c>
      <c r="P346" s="25"/>
      <c r="Q346" s="56" t="s">
        <v>2827</v>
      </c>
      <c r="R346" s="32" t="s">
        <v>517</v>
      </c>
      <c r="S346" s="77" t="s">
        <v>41</v>
      </c>
      <c r="T346" s="21"/>
      <c r="U346" s="28"/>
      <c r="V346" s="28"/>
      <c r="W346" s="29" t="s">
        <v>2223</v>
      </c>
      <c r="X346" s="29" t="s">
        <v>2224</v>
      </c>
      <c r="Y346" s="30" t="s">
        <v>2828</v>
      </c>
      <c r="Z346" s="30" t="s">
        <v>2829</v>
      </c>
      <c r="AA346" s="30" t="s">
        <v>2830</v>
      </c>
      <c r="AB346" s="41"/>
      <c r="AC346" s="32"/>
      <c r="AD346" s="21"/>
      <c r="AE346" s="32"/>
      <c r="AF346" s="32"/>
      <c r="AG346" s="32"/>
      <c r="AH346" s="32"/>
      <c r="AI346" s="32"/>
      <c r="AJ346" s="32"/>
      <c r="AK346" s="32"/>
      <c r="AL346" s="32"/>
      <c r="AM346" s="32"/>
      <c r="AN346" s="32"/>
      <c r="AO346" s="32"/>
      <c r="AP346" s="32"/>
      <c r="AQ346" s="32"/>
    </row>
    <row r="347" spans="1:43" ht="15.75" customHeight="1">
      <c r="A347" s="458" t="s">
        <v>2831</v>
      </c>
      <c r="B347" s="33" t="s">
        <v>429</v>
      </c>
      <c r="C347" s="247" t="s">
        <v>170</v>
      </c>
      <c r="D347" s="232"/>
      <c r="E347" s="58"/>
      <c r="F347" s="16" t="s">
        <v>2832</v>
      </c>
      <c r="G347" s="32" t="s">
        <v>2833</v>
      </c>
      <c r="H347" s="204" t="s">
        <v>2834</v>
      </c>
      <c r="I347" s="185" t="s">
        <v>2835</v>
      </c>
      <c r="J347" s="22" t="s">
        <v>2836</v>
      </c>
      <c r="K347" s="22"/>
      <c r="L347" s="22"/>
      <c r="M347" s="388" t="s">
        <v>2792</v>
      </c>
      <c r="N347" s="65" t="s">
        <v>2837</v>
      </c>
      <c r="O347" s="38"/>
      <c r="P347" s="25"/>
      <c r="Q347" s="56"/>
      <c r="R347" s="99" t="s">
        <v>1095</v>
      </c>
      <c r="S347" s="77" t="s">
        <v>41</v>
      </c>
      <c r="T347" s="21"/>
      <c r="U347" s="28"/>
      <c r="V347" s="28"/>
      <c r="W347" s="29" t="s">
        <v>2223</v>
      </c>
      <c r="X347" s="29" t="s">
        <v>2224</v>
      </c>
      <c r="Y347" s="30" t="s">
        <v>2838</v>
      </c>
      <c r="Z347" s="102"/>
      <c r="AA347" s="30"/>
      <c r="AB347" s="108"/>
      <c r="AC347" s="32"/>
      <c r="AD347" s="21"/>
      <c r="AE347" s="32"/>
      <c r="AF347" s="32"/>
      <c r="AG347" s="32"/>
      <c r="AH347" s="32"/>
      <c r="AI347" s="32"/>
      <c r="AJ347" s="32"/>
      <c r="AK347" s="32"/>
      <c r="AL347" s="32"/>
      <c r="AM347" s="32"/>
      <c r="AN347" s="32"/>
      <c r="AO347" s="32"/>
      <c r="AP347" s="32"/>
      <c r="AQ347" s="32"/>
    </row>
    <row r="348" spans="1:43" ht="15.75" customHeight="1">
      <c r="A348" s="458" t="s">
        <v>2839</v>
      </c>
      <c r="B348" s="33" t="s">
        <v>429</v>
      </c>
      <c r="C348" s="247" t="s">
        <v>170</v>
      </c>
      <c r="D348" s="244"/>
      <c r="E348" s="188"/>
      <c r="F348" s="205" t="s">
        <v>2840</v>
      </c>
      <c r="G348" s="184"/>
      <c r="H348" s="204" t="s">
        <v>2841</v>
      </c>
      <c r="I348" s="32" t="s">
        <v>2493</v>
      </c>
      <c r="J348" s="22"/>
      <c r="K348" s="82"/>
      <c r="L348" s="82"/>
      <c r="M348" s="135" t="s">
        <v>2842</v>
      </c>
      <c r="N348" s="38" t="s">
        <v>2843</v>
      </c>
      <c r="O348" s="38" t="s">
        <v>38</v>
      </c>
      <c r="P348" s="25"/>
      <c r="Q348" s="26" t="s">
        <v>39</v>
      </c>
      <c r="R348" s="115" t="s">
        <v>537</v>
      </c>
      <c r="S348" s="77" t="s">
        <v>41</v>
      </c>
      <c r="T348" s="21"/>
      <c r="U348" s="28"/>
      <c r="V348" s="28"/>
      <c r="W348" s="111" t="s">
        <v>2223</v>
      </c>
      <c r="X348" s="111" t="s">
        <v>2224</v>
      </c>
      <c r="Y348" s="30" t="s">
        <v>2635</v>
      </c>
      <c r="Z348" s="197"/>
      <c r="AA348" s="30" t="s">
        <v>2844</v>
      </c>
      <c r="AB348" s="46" t="s">
        <v>2845</v>
      </c>
      <c r="AC348" s="32"/>
      <c r="AD348" s="21"/>
      <c r="AE348" s="32"/>
      <c r="AF348" s="32"/>
      <c r="AG348" s="32"/>
      <c r="AH348" s="32"/>
      <c r="AI348" s="32"/>
      <c r="AJ348" s="32"/>
      <c r="AK348" s="32"/>
      <c r="AL348" s="32"/>
      <c r="AM348" s="32"/>
      <c r="AN348" s="32"/>
      <c r="AO348" s="32"/>
      <c r="AP348" s="32"/>
      <c r="AQ348" s="32"/>
    </row>
    <row r="349" spans="1:43" ht="15.75" customHeight="1">
      <c r="A349" s="458" t="s">
        <v>3991</v>
      </c>
      <c r="B349" s="33" t="s">
        <v>429</v>
      </c>
      <c r="C349" s="247" t="s">
        <v>170</v>
      </c>
      <c r="D349" s="232"/>
      <c r="E349" s="58"/>
      <c r="F349" s="47" t="s">
        <v>2846</v>
      </c>
      <c r="G349" s="32"/>
      <c r="H349" s="204" t="s">
        <v>2847</v>
      </c>
      <c r="I349" s="185" t="s">
        <v>2848</v>
      </c>
      <c r="J349" s="22"/>
      <c r="K349" s="22"/>
      <c r="L349" s="22" t="s">
        <v>2849</v>
      </c>
      <c r="M349" s="135" t="s">
        <v>1018</v>
      </c>
      <c r="N349" s="38" t="s">
        <v>2850</v>
      </c>
      <c r="O349" s="294" t="s">
        <v>766</v>
      </c>
      <c r="P349" s="124"/>
      <c r="Q349" s="26" t="s">
        <v>2851</v>
      </c>
      <c r="R349" s="101" t="s">
        <v>537</v>
      </c>
      <c r="S349" s="77" t="s">
        <v>41</v>
      </c>
      <c r="T349" s="21"/>
      <c r="U349" s="28"/>
      <c r="V349" s="28"/>
      <c r="W349" s="29" t="s">
        <v>2223</v>
      </c>
      <c r="X349" s="29" t="s">
        <v>2224</v>
      </c>
      <c r="Y349" s="30" t="s">
        <v>2635</v>
      </c>
      <c r="Z349" s="30"/>
      <c r="AA349" s="30"/>
      <c r="AB349" s="41"/>
      <c r="AC349" s="32"/>
      <c r="AD349" s="21"/>
      <c r="AE349" s="32"/>
      <c r="AF349" s="32"/>
      <c r="AG349" s="32"/>
      <c r="AH349" s="32"/>
      <c r="AI349" s="32"/>
      <c r="AJ349" s="32"/>
      <c r="AK349" s="32"/>
      <c r="AL349" s="32"/>
      <c r="AM349" s="32"/>
      <c r="AN349" s="32"/>
      <c r="AO349" s="32"/>
      <c r="AP349" s="32"/>
      <c r="AQ349" s="32"/>
    </row>
    <row r="350" spans="1:43" ht="15.75" customHeight="1">
      <c r="A350" s="458" t="s">
        <v>2852</v>
      </c>
      <c r="B350" s="33" t="s">
        <v>429</v>
      </c>
      <c r="C350" s="247" t="s">
        <v>170</v>
      </c>
      <c r="D350" s="242"/>
      <c r="E350" s="52"/>
      <c r="F350" s="16" t="s">
        <v>2853</v>
      </c>
      <c r="G350" s="48"/>
      <c r="H350" s="32" t="s">
        <v>2854</v>
      </c>
      <c r="I350" s="185" t="s">
        <v>2855</v>
      </c>
      <c r="J350" s="22"/>
      <c r="K350" s="22"/>
      <c r="L350" s="22"/>
      <c r="M350" s="32" t="s">
        <v>2856</v>
      </c>
      <c r="N350" s="38" t="s">
        <v>2857</v>
      </c>
      <c r="O350" s="38"/>
      <c r="P350" s="74" t="s">
        <v>2357</v>
      </c>
      <c r="Q350" s="56" t="s">
        <v>2858</v>
      </c>
      <c r="R350" s="32" t="s">
        <v>49</v>
      </c>
      <c r="S350" s="77" t="s">
        <v>41</v>
      </c>
      <c r="T350" s="88" t="s">
        <v>2859</v>
      </c>
      <c r="U350" s="45" t="s">
        <v>2860</v>
      </c>
      <c r="V350" s="45" t="s">
        <v>2861</v>
      </c>
      <c r="W350" s="111"/>
      <c r="X350" s="118" t="s">
        <v>2861</v>
      </c>
      <c r="Y350" s="30" t="s">
        <v>2862</v>
      </c>
      <c r="Z350" s="102"/>
      <c r="AA350" s="30"/>
      <c r="AB350" s="31"/>
      <c r="AC350" s="21" t="s">
        <v>2863</v>
      </c>
      <c r="AD350" s="21"/>
      <c r="AE350" s="32"/>
      <c r="AF350" s="32"/>
      <c r="AG350" s="32"/>
      <c r="AH350" s="32"/>
      <c r="AI350" s="32"/>
      <c r="AJ350" s="32"/>
      <c r="AK350" s="32"/>
      <c r="AL350" s="32"/>
      <c r="AM350" s="32"/>
      <c r="AN350" s="32"/>
      <c r="AO350" s="32"/>
      <c r="AP350" s="32"/>
      <c r="AQ350" s="32"/>
    </row>
    <row r="351" spans="1:43" ht="15.75" customHeight="1">
      <c r="A351" s="458" t="s">
        <v>3992</v>
      </c>
      <c r="B351" s="184" t="s">
        <v>2864</v>
      </c>
      <c r="C351" s="247" t="s">
        <v>170</v>
      </c>
      <c r="D351" s="232"/>
      <c r="E351" s="58"/>
      <c r="F351" s="265" t="s">
        <v>2865</v>
      </c>
      <c r="G351" s="32"/>
      <c r="H351" s="190" t="s">
        <v>2866</v>
      </c>
      <c r="I351" s="190" t="s">
        <v>2493</v>
      </c>
      <c r="J351" s="22"/>
      <c r="K351" s="22"/>
      <c r="L351" s="22" t="s">
        <v>534</v>
      </c>
      <c r="M351" s="206" t="s">
        <v>2680</v>
      </c>
      <c r="N351" s="38" t="s">
        <v>2867</v>
      </c>
      <c r="O351" s="294"/>
      <c r="P351" s="124"/>
      <c r="Q351" s="26"/>
      <c r="R351" s="99" t="s">
        <v>537</v>
      </c>
      <c r="S351" s="77" t="s">
        <v>41</v>
      </c>
      <c r="T351" s="182"/>
      <c r="U351" s="183"/>
      <c r="V351" s="183"/>
      <c r="W351" s="111" t="s">
        <v>2223</v>
      </c>
      <c r="X351" s="111" t="s">
        <v>2224</v>
      </c>
      <c r="Y351" s="30" t="s">
        <v>2868</v>
      </c>
      <c r="Z351" s="197"/>
      <c r="AA351" s="30" t="s">
        <v>2869</v>
      </c>
      <c r="AB351" s="31"/>
      <c r="AC351" s="32"/>
      <c r="AD351" s="21"/>
      <c r="AE351" s="32"/>
      <c r="AF351" s="32"/>
      <c r="AG351" s="32"/>
      <c r="AH351" s="32"/>
      <c r="AI351" s="32"/>
      <c r="AJ351" s="32"/>
      <c r="AK351" s="32"/>
      <c r="AL351" s="32"/>
      <c r="AM351" s="32"/>
      <c r="AN351" s="32"/>
      <c r="AO351" s="32"/>
      <c r="AP351" s="32"/>
      <c r="AQ351" s="32"/>
    </row>
    <row r="352" spans="1:43" ht="15.75" customHeight="1">
      <c r="A352" s="458" t="s">
        <v>2870</v>
      </c>
      <c r="B352" s="33" t="s">
        <v>429</v>
      </c>
      <c r="C352" s="247" t="s">
        <v>170</v>
      </c>
      <c r="D352" s="232"/>
      <c r="E352" s="58"/>
      <c r="F352" s="47" t="s">
        <v>2871</v>
      </c>
      <c r="G352" s="32"/>
      <c r="H352" s="191" t="s">
        <v>2872</v>
      </c>
      <c r="I352" s="185" t="s">
        <v>2873</v>
      </c>
      <c r="J352" s="22"/>
      <c r="K352" s="22"/>
      <c r="L352" s="22"/>
      <c r="M352" s="135" t="s">
        <v>2874</v>
      </c>
      <c r="N352" s="38" t="s">
        <v>2875</v>
      </c>
      <c r="O352" s="38"/>
      <c r="P352" s="74" t="s">
        <v>2549</v>
      </c>
      <c r="Q352" s="26" t="s">
        <v>2550</v>
      </c>
      <c r="R352" s="101" t="s">
        <v>40</v>
      </c>
      <c r="S352" s="77" t="s">
        <v>41</v>
      </c>
      <c r="T352" s="119"/>
      <c r="U352" s="120" t="s">
        <v>2223</v>
      </c>
      <c r="V352" s="28" t="s">
        <v>2224</v>
      </c>
      <c r="W352" s="111" t="s">
        <v>2223</v>
      </c>
      <c r="X352" s="111" t="s">
        <v>2224</v>
      </c>
      <c r="Y352" s="30" t="s">
        <v>2876</v>
      </c>
      <c r="Z352" s="30"/>
      <c r="AA352" s="30"/>
      <c r="AB352" s="31" t="s">
        <v>2552</v>
      </c>
      <c r="AC352" s="32"/>
      <c r="AD352" s="21"/>
      <c r="AE352" s="32"/>
      <c r="AF352" s="32"/>
      <c r="AG352" s="32"/>
      <c r="AH352" s="32"/>
      <c r="AI352" s="32"/>
      <c r="AJ352" s="32"/>
      <c r="AK352" s="32"/>
      <c r="AL352" s="32"/>
      <c r="AM352" s="32"/>
      <c r="AN352" s="32"/>
      <c r="AO352" s="32"/>
      <c r="AP352" s="32"/>
      <c r="AQ352" s="32"/>
    </row>
    <row r="353" spans="1:43" ht="15.75" customHeight="1">
      <c r="A353" s="458" t="s">
        <v>2877</v>
      </c>
      <c r="B353" s="33" t="s">
        <v>429</v>
      </c>
      <c r="C353" s="247" t="s">
        <v>170</v>
      </c>
      <c r="D353" s="232"/>
      <c r="E353" s="58"/>
      <c r="F353" s="47" t="s">
        <v>2878</v>
      </c>
      <c r="G353" s="32"/>
      <c r="H353" s="203" t="s">
        <v>2879</v>
      </c>
      <c r="I353" s="185" t="s">
        <v>2880</v>
      </c>
      <c r="J353" s="82" t="s">
        <v>2881</v>
      </c>
      <c r="K353" s="82"/>
      <c r="L353" s="22"/>
      <c r="M353" s="135" t="s">
        <v>136</v>
      </c>
      <c r="N353" s="89" t="s">
        <v>2882</v>
      </c>
      <c r="O353" s="393"/>
      <c r="P353" s="70"/>
      <c r="Q353" s="91"/>
      <c r="R353" s="77" t="s">
        <v>634</v>
      </c>
      <c r="S353" s="77" t="s">
        <v>41</v>
      </c>
      <c r="T353" s="21"/>
      <c r="U353" s="28"/>
      <c r="V353" s="28"/>
      <c r="W353" s="111" t="s">
        <v>2223</v>
      </c>
      <c r="X353" s="111" t="s">
        <v>2224</v>
      </c>
      <c r="Y353" s="30" t="s">
        <v>2883</v>
      </c>
      <c r="Z353" s="102"/>
      <c r="AA353" s="30"/>
      <c r="AB353" s="41"/>
      <c r="AC353" s="32"/>
      <c r="AD353" s="21"/>
      <c r="AE353" s="32"/>
      <c r="AF353" s="32"/>
      <c r="AG353" s="32"/>
      <c r="AH353" s="32"/>
      <c r="AI353" s="32"/>
      <c r="AJ353" s="32"/>
      <c r="AK353" s="32"/>
      <c r="AL353" s="32"/>
      <c r="AM353" s="32"/>
      <c r="AN353" s="32"/>
      <c r="AO353" s="32"/>
      <c r="AP353" s="32"/>
      <c r="AQ353" s="32"/>
    </row>
    <row r="354" spans="1:43" ht="15.75" customHeight="1">
      <c r="A354" s="458" t="s">
        <v>2884</v>
      </c>
      <c r="B354" s="33" t="s">
        <v>429</v>
      </c>
      <c r="C354" s="247" t="s">
        <v>170</v>
      </c>
      <c r="D354" s="232"/>
      <c r="E354" s="58"/>
      <c r="F354" s="47" t="s">
        <v>2885</v>
      </c>
      <c r="G354" s="32"/>
      <c r="H354" s="203" t="s">
        <v>2886</v>
      </c>
      <c r="I354" s="190" t="s">
        <v>2493</v>
      </c>
      <c r="J354" s="35"/>
      <c r="K354" s="22"/>
      <c r="L354" s="22" t="s">
        <v>35</v>
      </c>
      <c r="M354" s="135" t="s">
        <v>1093</v>
      </c>
      <c r="N354" s="38" t="s">
        <v>2887</v>
      </c>
      <c r="O354" s="38" t="s">
        <v>2099</v>
      </c>
      <c r="P354" s="74"/>
      <c r="Q354" s="26" t="s">
        <v>2888</v>
      </c>
      <c r="R354" s="115" t="s">
        <v>537</v>
      </c>
      <c r="S354" s="77"/>
      <c r="T354" s="21"/>
      <c r="U354" s="28"/>
      <c r="V354" s="28"/>
      <c r="W354" s="29" t="s">
        <v>2223</v>
      </c>
      <c r="X354" s="29" t="s">
        <v>2224</v>
      </c>
      <c r="Y354" s="168" t="s">
        <v>2889</v>
      </c>
      <c r="Z354" s="197"/>
      <c r="AA354" s="30" t="s">
        <v>2890</v>
      </c>
      <c r="AB354" s="46" t="s">
        <v>2891</v>
      </c>
      <c r="AC354" s="32"/>
      <c r="AD354" s="21"/>
      <c r="AE354" s="32"/>
      <c r="AF354" s="32"/>
      <c r="AG354" s="32"/>
      <c r="AH354" s="32"/>
      <c r="AI354" s="32"/>
      <c r="AJ354" s="32"/>
      <c r="AK354" s="32"/>
      <c r="AL354" s="32"/>
      <c r="AM354" s="32"/>
      <c r="AN354" s="32"/>
      <c r="AO354" s="32"/>
      <c r="AP354" s="32"/>
      <c r="AQ354" s="32"/>
    </row>
    <row r="355" spans="1:43" ht="135" customHeight="1">
      <c r="A355" s="458" t="s">
        <v>2892</v>
      </c>
      <c r="B355" s="33" t="s">
        <v>429</v>
      </c>
      <c r="C355" s="247" t="s">
        <v>3950</v>
      </c>
      <c r="D355" s="232"/>
      <c r="E355" s="58"/>
      <c r="F355" s="47" t="s">
        <v>2893</v>
      </c>
      <c r="G355" s="32"/>
      <c r="H355" s="203" t="s">
        <v>2894</v>
      </c>
      <c r="I355" s="190" t="s">
        <v>2493</v>
      </c>
      <c r="J355" s="82"/>
      <c r="K355" s="82"/>
      <c r="L355" s="82" t="s">
        <v>534</v>
      </c>
      <c r="M355" s="113" t="s">
        <v>1608</v>
      </c>
      <c r="N355" s="54" t="s">
        <v>4022</v>
      </c>
      <c r="O355" s="54" t="s">
        <v>2895</v>
      </c>
      <c r="P355" s="55"/>
      <c r="Q355" s="56" t="s">
        <v>2896</v>
      </c>
      <c r="R355" s="32" t="s">
        <v>517</v>
      </c>
      <c r="S355" s="77" t="s">
        <v>41</v>
      </c>
      <c r="T355" s="21"/>
      <c r="U355" s="28"/>
      <c r="V355" s="28"/>
      <c r="W355" s="29" t="s">
        <v>2223</v>
      </c>
      <c r="X355" s="29" t="s">
        <v>2224</v>
      </c>
      <c r="Y355" s="30" t="s">
        <v>2794</v>
      </c>
      <c r="Z355" s="30" t="s">
        <v>2897</v>
      </c>
      <c r="AA355" s="30" t="s">
        <v>2898</v>
      </c>
      <c r="AB355" s="41"/>
      <c r="AC355" s="32"/>
      <c r="AD355" s="21"/>
      <c r="AE355" s="32"/>
      <c r="AF355" s="32"/>
      <c r="AG355" s="32"/>
      <c r="AH355" s="32"/>
      <c r="AI355" s="32"/>
      <c r="AJ355" s="32"/>
      <c r="AK355" s="32"/>
      <c r="AL355" s="32"/>
      <c r="AM355" s="32"/>
      <c r="AN355" s="32"/>
      <c r="AO355" s="32"/>
      <c r="AP355" s="32"/>
      <c r="AQ355" s="32"/>
    </row>
    <row r="356" spans="1:43" ht="15.75" customHeight="1">
      <c r="A356" s="458" t="s">
        <v>2899</v>
      </c>
      <c r="B356" s="33" t="s">
        <v>429</v>
      </c>
      <c r="C356" s="247" t="s">
        <v>170</v>
      </c>
      <c r="D356" s="232"/>
      <c r="E356" s="58"/>
      <c r="F356" s="47" t="s">
        <v>2900</v>
      </c>
      <c r="G356" s="32"/>
      <c r="H356" s="203" t="s">
        <v>2901</v>
      </c>
      <c r="I356" s="190" t="s">
        <v>2493</v>
      </c>
      <c r="J356" s="22"/>
      <c r="K356" s="22"/>
      <c r="L356" s="22"/>
      <c r="M356" s="135" t="s">
        <v>796</v>
      </c>
      <c r="N356" s="54" t="s">
        <v>2902</v>
      </c>
      <c r="O356" s="54" t="s">
        <v>2903</v>
      </c>
      <c r="P356" s="55"/>
      <c r="Q356" s="56" t="s">
        <v>2904</v>
      </c>
      <c r="R356" s="32" t="s">
        <v>517</v>
      </c>
      <c r="S356" s="77" t="s">
        <v>41</v>
      </c>
      <c r="T356" s="21" t="s">
        <v>2905</v>
      </c>
      <c r="U356" s="28"/>
      <c r="V356" s="28"/>
      <c r="W356" s="29" t="s">
        <v>2223</v>
      </c>
      <c r="X356" s="29" t="s">
        <v>2224</v>
      </c>
      <c r="Y356" s="30" t="s">
        <v>2906</v>
      </c>
      <c r="Z356" s="30" t="s">
        <v>2907</v>
      </c>
      <c r="AA356" s="30" t="s">
        <v>2908</v>
      </c>
      <c r="AB356" s="41"/>
      <c r="AC356" s="32"/>
      <c r="AD356" s="21"/>
      <c r="AE356" s="32"/>
      <c r="AF356" s="32"/>
      <c r="AG356" s="32"/>
      <c r="AH356" s="32"/>
      <c r="AI356" s="32"/>
      <c r="AJ356" s="32"/>
      <c r="AK356" s="32"/>
      <c r="AL356" s="32"/>
      <c r="AM356" s="32"/>
      <c r="AN356" s="32"/>
      <c r="AO356" s="32"/>
      <c r="AP356" s="32"/>
      <c r="AQ356" s="32"/>
    </row>
    <row r="357" spans="1:43" ht="15.75" customHeight="1">
      <c r="A357" s="458" t="s">
        <v>2909</v>
      </c>
      <c r="B357" s="33" t="s">
        <v>429</v>
      </c>
      <c r="C357" s="246" t="s">
        <v>2910</v>
      </c>
      <c r="D357" s="232"/>
      <c r="E357" s="58"/>
      <c r="F357" s="47" t="s">
        <v>2911</v>
      </c>
      <c r="G357" s="32"/>
      <c r="H357" s="32" t="s">
        <v>2912</v>
      </c>
      <c r="I357" s="190" t="s">
        <v>2493</v>
      </c>
      <c r="J357" s="107" t="s">
        <v>419</v>
      </c>
      <c r="K357" s="107"/>
      <c r="L357" s="107"/>
      <c r="M357" s="135" t="s">
        <v>535</v>
      </c>
      <c r="N357" s="54" t="s">
        <v>2913</v>
      </c>
      <c r="O357" s="54"/>
      <c r="P357" s="55"/>
      <c r="Q357" s="56"/>
      <c r="R357" s="99" t="s">
        <v>537</v>
      </c>
      <c r="S357" s="77" t="s">
        <v>41</v>
      </c>
      <c r="T357" s="21"/>
      <c r="U357" s="28"/>
      <c r="V357" s="28"/>
      <c r="W357" s="29" t="s">
        <v>2223</v>
      </c>
      <c r="X357" s="29" t="s">
        <v>2224</v>
      </c>
      <c r="Y357" s="30" t="s">
        <v>2635</v>
      </c>
      <c r="Z357" s="30"/>
      <c r="AA357" s="30" t="s">
        <v>2914</v>
      </c>
      <c r="AB357" s="41" t="s">
        <v>2915</v>
      </c>
      <c r="AC357" s="32"/>
      <c r="AD357" s="21"/>
      <c r="AE357" s="32"/>
      <c r="AF357" s="32"/>
      <c r="AG357" s="32"/>
      <c r="AH357" s="32"/>
      <c r="AI357" s="32"/>
      <c r="AJ357" s="32"/>
      <c r="AK357" s="32"/>
      <c r="AL357" s="32"/>
      <c r="AM357" s="32"/>
      <c r="AN357" s="32"/>
      <c r="AO357" s="32"/>
      <c r="AP357" s="32"/>
      <c r="AQ357" s="32"/>
    </row>
    <row r="358" spans="1:43" ht="15.75" customHeight="1">
      <c r="A358" s="458" t="s">
        <v>2916</v>
      </c>
      <c r="B358" s="184" t="s">
        <v>2917</v>
      </c>
      <c r="C358" s="247" t="s">
        <v>170</v>
      </c>
      <c r="D358" s="232"/>
      <c r="E358" s="58"/>
      <c r="F358" s="47" t="s">
        <v>2918</v>
      </c>
      <c r="G358" s="32"/>
      <c r="H358" s="203" t="s">
        <v>2919</v>
      </c>
      <c r="I358" s="190" t="s">
        <v>2493</v>
      </c>
      <c r="J358" s="22"/>
      <c r="K358" s="93"/>
      <c r="L358" s="93"/>
      <c r="M358" s="135" t="s">
        <v>2920</v>
      </c>
      <c r="N358" s="65" t="s">
        <v>2921</v>
      </c>
      <c r="O358" s="65"/>
      <c r="P358" s="55"/>
      <c r="Q358" s="56"/>
      <c r="R358" s="99" t="s">
        <v>537</v>
      </c>
      <c r="S358" s="77" t="s">
        <v>41</v>
      </c>
      <c r="T358" s="21"/>
      <c r="U358" s="28"/>
      <c r="V358" s="28"/>
      <c r="W358" s="29" t="s">
        <v>2223</v>
      </c>
      <c r="X358" s="29" t="s">
        <v>2224</v>
      </c>
      <c r="Y358" s="207" t="s">
        <v>2922</v>
      </c>
      <c r="Z358" s="208" t="s">
        <v>2923</v>
      </c>
      <c r="AA358" s="208"/>
      <c r="AB358" s="31" t="s">
        <v>2924</v>
      </c>
      <c r="AC358" s="32"/>
      <c r="AD358" s="21"/>
      <c r="AE358" s="32"/>
      <c r="AF358" s="32"/>
      <c r="AG358" s="32"/>
      <c r="AH358" s="32"/>
      <c r="AI358" s="32"/>
      <c r="AJ358" s="32"/>
      <c r="AK358" s="32"/>
      <c r="AL358" s="32"/>
      <c r="AM358" s="32"/>
      <c r="AN358" s="32"/>
      <c r="AO358" s="32"/>
      <c r="AP358" s="32"/>
      <c r="AQ358" s="32"/>
    </row>
    <row r="359" spans="1:43" ht="15.75" customHeight="1">
      <c r="A359" s="458" t="s">
        <v>2925</v>
      </c>
      <c r="B359" s="33" t="s">
        <v>429</v>
      </c>
      <c r="C359" s="246" t="s">
        <v>2926</v>
      </c>
      <c r="D359" s="232"/>
      <c r="E359" s="58"/>
      <c r="F359" s="47" t="s">
        <v>2927</v>
      </c>
      <c r="G359" s="32" t="s">
        <v>2928</v>
      </c>
      <c r="H359" s="95" t="s">
        <v>2929</v>
      </c>
      <c r="I359" s="185" t="s">
        <v>2625</v>
      </c>
      <c r="J359" s="22" t="s">
        <v>2930</v>
      </c>
      <c r="K359" s="22"/>
      <c r="L359" s="22"/>
      <c r="M359" s="135" t="s">
        <v>2931</v>
      </c>
      <c r="N359" s="134" t="s">
        <v>2932</v>
      </c>
      <c r="O359" s="54"/>
      <c r="P359" s="55"/>
      <c r="Q359" s="56"/>
      <c r="R359" s="99" t="s">
        <v>1095</v>
      </c>
      <c r="S359" s="77" t="s">
        <v>41</v>
      </c>
      <c r="T359" s="21" t="s">
        <v>2933</v>
      </c>
      <c r="U359" s="28"/>
      <c r="V359" s="28"/>
      <c r="W359" s="29" t="s">
        <v>2223</v>
      </c>
      <c r="X359" s="29" t="s">
        <v>2224</v>
      </c>
      <c r="Y359" s="30" t="s">
        <v>2794</v>
      </c>
      <c r="Z359" s="30"/>
      <c r="AA359" s="208"/>
      <c r="AB359" s="41"/>
      <c r="AC359" s="32"/>
      <c r="AD359" s="21"/>
      <c r="AE359" s="32"/>
      <c r="AF359" s="32"/>
      <c r="AG359" s="32"/>
      <c r="AH359" s="32"/>
      <c r="AI359" s="32"/>
      <c r="AJ359" s="32"/>
      <c r="AK359" s="32"/>
      <c r="AL359" s="32"/>
      <c r="AM359" s="32"/>
      <c r="AN359" s="32"/>
      <c r="AO359" s="32"/>
      <c r="AP359" s="32"/>
      <c r="AQ359" s="32"/>
    </row>
    <row r="360" spans="1:43" ht="15.75" customHeight="1">
      <c r="A360" s="458" t="s">
        <v>2934</v>
      </c>
      <c r="B360" s="33" t="s">
        <v>429</v>
      </c>
      <c r="C360" s="247" t="s">
        <v>170</v>
      </c>
      <c r="D360" s="232"/>
      <c r="E360" s="58"/>
      <c r="F360" s="47" t="s">
        <v>2935</v>
      </c>
      <c r="G360" s="32"/>
      <c r="H360" s="48" t="s">
        <v>2936</v>
      </c>
      <c r="I360" s="185" t="s">
        <v>2493</v>
      </c>
      <c r="J360" s="22"/>
      <c r="K360" s="22"/>
      <c r="L360" s="22"/>
      <c r="M360" s="135" t="s">
        <v>2937</v>
      </c>
      <c r="N360" s="54" t="s">
        <v>2938</v>
      </c>
      <c r="O360" s="54" t="s">
        <v>1857</v>
      </c>
      <c r="P360" s="55"/>
      <c r="Q360" s="56" t="s">
        <v>2939</v>
      </c>
      <c r="R360" s="32" t="s">
        <v>517</v>
      </c>
      <c r="S360" s="77" t="s">
        <v>41</v>
      </c>
      <c r="T360" s="21"/>
      <c r="U360" s="28"/>
      <c r="V360" s="28"/>
      <c r="W360" s="29" t="s">
        <v>2223</v>
      </c>
      <c r="X360" s="29" t="s">
        <v>2224</v>
      </c>
      <c r="Y360" s="30" t="s">
        <v>2940</v>
      </c>
      <c r="Z360" s="30" t="s">
        <v>2941</v>
      </c>
      <c r="AA360" s="30" t="s">
        <v>2942</v>
      </c>
      <c r="AB360" s="108"/>
      <c r="AC360" s="32"/>
      <c r="AD360" s="21"/>
      <c r="AE360" s="32"/>
      <c r="AF360" s="32"/>
      <c r="AG360" s="32"/>
      <c r="AH360" s="32"/>
      <c r="AI360" s="32"/>
      <c r="AJ360" s="32"/>
      <c r="AK360" s="32"/>
      <c r="AL360" s="32"/>
      <c r="AM360" s="32"/>
      <c r="AN360" s="32"/>
      <c r="AO360" s="32"/>
      <c r="AP360" s="32"/>
      <c r="AQ360" s="32"/>
    </row>
    <row r="361" spans="1:43" ht="15.75" customHeight="1">
      <c r="A361" s="458" t="s">
        <v>2943</v>
      </c>
      <c r="B361" s="33" t="s">
        <v>429</v>
      </c>
      <c r="C361" s="247" t="s">
        <v>170</v>
      </c>
      <c r="D361" s="232"/>
      <c r="E361" s="58"/>
      <c r="F361" s="32" t="s">
        <v>2271</v>
      </c>
      <c r="G361" s="184" t="s">
        <v>2944</v>
      </c>
      <c r="H361" s="48" t="s">
        <v>2945</v>
      </c>
      <c r="I361" s="185" t="s">
        <v>2946</v>
      </c>
      <c r="J361" s="22"/>
      <c r="K361" s="22"/>
      <c r="L361" s="22"/>
      <c r="M361" s="135" t="s">
        <v>2947</v>
      </c>
      <c r="N361" s="54" t="s">
        <v>3986</v>
      </c>
      <c r="O361" s="54"/>
      <c r="P361" s="25" t="s">
        <v>1891</v>
      </c>
      <c r="Q361" s="56" t="s">
        <v>1892</v>
      </c>
      <c r="R361" s="115" t="s">
        <v>382</v>
      </c>
      <c r="S361" s="77" t="s">
        <v>41</v>
      </c>
      <c r="T361" s="21" t="s">
        <v>2948</v>
      </c>
      <c r="U361" s="28"/>
      <c r="V361" s="28"/>
      <c r="W361" s="111"/>
      <c r="X361" s="111"/>
      <c r="Y361" s="30"/>
      <c r="Z361" s="30"/>
      <c r="AA361" s="30"/>
      <c r="AB361" s="108"/>
      <c r="AC361" s="32" t="s">
        <v>2949</v>
      </c>
      <c r="AD361" s="21"/>
      <c r="AE361" s="32"/>
      <c r="AF361" s="32"/>
      <c r="AG361" s="32"/>
      <c r="AH361" s="32"/>
      <c r="AI361" s="32"/>
      <c r="AJ361" s="32"/>
      <c r="AK361" s="32"/>
      <c r="AL361" s="32"/>
      <c r="AM361" s="32"/>
      <c r="AN361" s="32"/>
      <c r="AO361" s="32"/>
      <c r="AP361" s="32"/>
      <c r="AQ361" s="32"/>
    </row>
    <row r="362" spans="1:43" ht="15.75" customHeight="1">
      <c r="A362" s="458" t="s">
        <v>2950</v>
      </c>
      <c r="B362" s="33" t="s">
        <v>429</v>
      </c>
      <c r="C362" s="247" t="s">
        <v>170</v>
      </c>
      <c r="D362" s="232"/>
      <c r="E362" s="58"/>
      <c r="F362" s="16" t="s">
        <v>2951</v>
      </c>
      <c r="G362" s="48" t="s">
        <v>2952</v>
      </c>
      <c r="H362" s="203" t="s">
        <v>2953</v>
      </c>
      <c r="I362" s="32" t="s">
        <v>2533</v>
      </c>
      <c r="J362" s="82"/>
      <c r="K362" s="82"/>
      <c r="L362" s="82"/>
      <c r="M362" s="95" t="s">
        <v>2954</v>
      </c>
      <c r="N362" s="54" t="s">
        <v>2955</v>
      </c>
      <c r="O362" s="54"/>
      <c r="P362" s="25" t="s">
        <v>1891</v>
      </c>
      <c r="Q362" s="56" t="s">
        <v>1892</v>
      </c>
      <c r="R362" s="77" t="s">
        <v>3970</v>
      </c>
      <c r="S362" s="77" t="s">
        <v>41</v>
      </c>
      <c r="T362" s="21"/>
      <c r="U362" s="290" t="s">
        <v>1891</v>
      </c>
      <c r="V362" s="290" t="s">
        <v>1892</v>
      </c>
      <c r="W362" s="111"/>
      <c r="X362" s="111"/>
      <c r="Y362" s="30" t="s">
        <v>2956</v>
      </c>
      <c r="Z362" s="30"/>
      <c r="AA362" s="30"/>
      <c r="AB362" s="108"/>
      <c r="AC362" s="32" t="s">
        <v>1894</v>
      </c>
      <c r="AD362" s="144" t="s">
        <v>2957</v>
      </c>
      <c r="AE362" s="32"/>
      <c r="AF362" s="32"/>
      <c r="AG362" s="32"/>
      <c r="AH362" s="32"/>
      <c r="AI362" s="32"/>
      <c r="AJ362" s="32"/>
      <c r="AK362" s="32"/>
      <c r="AL362" s="32"/>
      <c r="AM362" s="32"/>
      <c r="AN362" s="32"/>
      <c r="AO362" s="32"/>
      <c r="AP362" s="32"/>
      <c r="AQ362" s="32"/>
    </row>
    <row r="363" spans="1:43" ht="15.75" customHeight="1">
      <c r="A363" s="458" t="s">
        <v>2958</v>
      </c>
      <c r="B363" s="33" t="s">
        <v>429</v>
      </c>
      <c r="C363" s="247" t="s">
        <v>170</v>
      </c>
      <c r="D363" s="232"/>
      <c r="E363" s="58"/>
      <c r="F363" s="47" t="s">
        <v>2959</v>
      </c>
      <c r="G363" s="48"/>
      <c r="H363" s="48" t="s">
        <v>2960</v>
      </c>
      <c r="I363" s="32" t="s">
        <v>2533</v>
      </c>
      <c r="J363" s="22"/>
      <c r="K363" s="22"/>
      <c r="L363" s="22"/>
      <c r="M363" s="33" t="s">
        <v>486</v>
      </c>
      <c r="N363" s="54" t="s">
        <v>2961</v>
      </c>
      <c r="O363" s="54"/>
      <c r="P363" s="25" t="s">
        <v>1891</v>
      </c>
      <c r="Q363" s="56" t="s">
        <v>1892</v>
      </c>
      <c r="R363" s="115" t="s">
        <v>382</v>
      </c>
      <c r="S363" s="77" t="s">
        <v>41</v>
      </c>
      <c r="T363" s="21"/>
      <c r="U363" s="290" t="s">
        <v>1891</v>
      </c>
      <c r="V363" s="290" t="s">
        <v>1892</v>
      </c>
      <c r="W363" s="111"/>
      <c r="X363" s="111"/>
      <c r="Y363" s="30" t="s">
        <v>2962</v>
      </c>
      <c r="Z363" s="30"/>
      <c r="AA363" s="30"/>
      <c r="AB363" s="108"/>
      <c r="AC363" s="32" t="s">
        <v>1894</v>
      </c>
      <c r="AD363" s="21"/>
      <c r="AE363" s="32"/>
      <c r="AF363" s="32"/>
      <c r="AG363" s="32"/>
      <c r="AH363" s="32"/>
      <c r="AI363" s="32"/>
      <c r="AJ363" s="32"/>
      <c r="AK363" s="32"/>
      <c r="AL363" s="32"/>
      <c r="AM363" s="32"/>
      <c r="AN363" s="32"/>
      <c r="AO363" s="32"/>
      <c r="AP363" s="32"/>
      <c r="AQ363" s="32"/>
    </row>
    <row r="364" spans="1:43" ht="15.75" customHeight="1">
      <c r="A364" s="458" t="s">
        <v>2963</v>
      </c>
      <c r="B364" s="33" t="s">
        <v>429</v>
      </c>
      <c r="C364" s="247" t="s">
        <v>170</v>
      </c>
      <c r="D364" s="232"/>
      <c r="E364" s="58"/>
      <c r="F364" s="16" t="s">
        <v>2964</v>
      </c>
      <c r="G364" s="48" t="s">
        <v>2965</v>
      </c>
      <c r="H364" s="203" t="s">
        <v>2966</v>
      </c>
      <c r="I364" s="32" t="s">
        <v>2967</v>
      </c>
      <c r="J364" s="22"/>
      <c r="K364" s="22"/>
      <c r="L364" s="22" t="s">
        <v>2968</v>
      </c>
      <c r="M364" s="181" t="s">
        <v>2068</v>
      </c>
      <c r="N364" s="135" t="s">
        <v>2069</v>
      </c>
      <c r="O364" s="135"/>
      <c r="P364" s="25"/>
      <c r="Q364" s="56"/>
      <c r="R364" s="77" t="s">
        <v>634</v>
      </c>
      <c r="S364" s="77"/>
      <c r="T364" s="21"/>
      <c r="U364" s="28"/>
      <c r="V364" s="28"/>
      <c r="W364" s="111"/>
      <c r="X364" s="111"/>
      <c r="Y364" s="30"/>
      <c r="Z364" s="102"/>
      <c r="AA364" s="30"/>
      <c r="AB364" s="108"/>
      <c r="AC364" s="32"/>
      <c r="AD364" s="21"/>
      <c r="AE364" s="32"/>
      <c r="AF364" s="32"/>
      <c r="AG364" s="32"/>
      <c r="AH364" s="32"/>
      <c r="AI364" s="32"/>
      <c r="AJ364" s="32"/>
      <c r="AK364" s="32"/>
      <c r="AL364" s="32"/>
      <c r="AM364" s="32"/>
      <c r="AN364" s="32"/>
      <c r="AO364" s="32"/>
      <c r="AP364" s="32"/>
      <c r="AQ364" s="32"/>
    </row>
    <row r="365" spans="1:43" ht="15.75" customHeight="1">
      <c r="A365" s="458" t="s">
        <v>2969</v>
      </c>
      <c r="B365" s="33" t="s">
        <v>429</v>
      </c>
      <c r="C365" s="247" t="s">
        <v>170</v>
      </c>
      <c r="D365" s="232"/>
      <c r="E365" s="58"/>
      <c r="F365" s="47" t="s">
        <v>2970</v>
      </c>
      <c r="G365" s="32"/>
      <c r="H365" s="203" t="s">
        <v>2971</v>
      </c>
      <c r="I365" s="32" t="s">
        <v>2493</v>
      </c>
      <c r="J365" s="22"/>
      <c r="K365" s="22"/>
      <c r="L365" s="22"/>
      <c r="M365" s="113" t="s">
        <v>593</v>
      </c>
      <c r="N365" s="38" t="s">
        <v>2972</v>
      </c>
      <c r="O365" s="38" t="s">
        <v>38</v>
      </c>
      <c r="P365" s="25"/>
      <c r="Q365" s="26" t="s">
        <v>1160</v>
      </c>
      <c r="R365" s="99" t="s">
        <v>537</v>
      </c>
      <c r="S365" s="77" t="s">
        <v>41</v>
      </c>
      <c r="T365" s="21"/>
      <c r="U365" s="28"/>
      <c r="V365" s="28"/>
      <c r="W365" s="29" t="s">
        <v>2223</v>
      </c>
      <c r="X365" s="29" t="s">
        <v>2224</v>
      </c>
      <c r="Y365" s="195" t="s">
        <v>2973</v>
      </c>
      <c r="Z365" s="418"/>
      <c r="AA365" s="195" t="s">
        <v>2974</v>
      </c>
      <c r="AB365" s="31" t="s">
        <v>2975</v>
      </c>
      <c r="AC365" s="32"/>
      <c r="AD365" s="21"/>
      <c r="AE365" s="32"/>
      <c r="AF365" s="32"/>
      <c r="AG365" s="32"/>
      <c r="AH365" s="32"/>
      <c r="AI365" s="32"/>
      <c r="AJ365" s="32"/>
      <c r="AK365" s="32"/>
      <c r="AL365" s="32"/>
      <c r="AM365" s="32"/>
      <c r="AN365" s="32"/>
      <c r="AO365" s="32"/>
      <c r="AP365" s="32"/>
      <c r="AQ365" s="32"/>
    </row>
    <row r="366" spans="1:43" ht="15.75" customHeight="1">
      <c r="A366" s="458" t="s">
        <v>3893</v>
      </c>
      <c r="B366" s="33" t="s">
        <v>429</v>
      </c>
      <c r="C366" s="246" t="s">
        <v>2976</v>
      </c>
      <c r="D366" s="232"/>
      <c r="E366" s="58"/>
      <c r="F366" s="47" t="s">
        <v>2977</v>
      </c>
      <c r="G366" s="32"/>
      <c r="H366" s="203" t="s">
        <v>2978</v>
      </c>
      <c r="I366" s="190" t="s">
        <v>2493</v>
      </c>
      <c r="J366" s="22" t="s">
        <v>2541</v>
      </c>
      <c r="K366" s="22"/>
      <c r="L366" s="22"/>
      <c r="M366" s="135" t="s">
        <v>535</v>
      </c>
      <c r="N366" s="38" t="s">
        <v>2979</v>
      </c>
      <c r="O366" s="38"/>
      <c r="P366" s="25"/>
      <c r="Q366" s="26"/>
      <c r="R366" s="99" t="s">
        <v>537</v>
      </c>
      <c r="S366" s="77" t="s">
        <v>41</v>
      </c>
      <c r="T366" s="21"/>
      <c r="U366" s="28"/>
      <c r="V366" s="28"/>
      <c r="W366" s="29" t="s">
        <v>2223</v>
      </c>
      <c r="X366" s="29" t="s">
        <v>2224</v>
      </c>
      <c r="Y366" s="30" t="s">
        <v>2980</v>
      </c>
      <c r="Z366" s="197"/>
      <c r="AA366" s="30" t="s">
        <v>2981</v>
      </c>
      <c r="AB366" s="41"/>
      <c r="AC366" s="32"/>
      <c r="AD366" s="21"/>
      <c r="AE366" s="32"/>
      <c r="AF366" s="32"/>
      <c r="AG366" s="32"/>
      <c r="AH366" s="32"/>
      <c r="AI366" s="32"/>
      <c r="AJ366" s="32"/>
      <c r="AK366" s="32"/>
      <c r="AL366" s="32"/>
      <c r="AM366" s="32"/>
      <c r="AN366" s="32"/>
      <c r="AO366" s="32"/>
      <c r="AP366" s="32"/>
      <c r="AQ366" s="32"/>
    </row>
    <row r="367" spans="1:43" ht="15.75" customHeight="1">
      <c r="A367" s="458" t="s">
        <v>2982</v>
      </c>
      <c r="B367" s="33" t="s">
        <v>429</v>
      </c>
      <c r="C367" s="247" t="s">
        <v>170</v>
      </c>
      <c r="D367" s="232"/>
      <c r="E367" s="58"/>
      <c r="F367" s="47" t="s">
        <v>2983</v>
      </c>
      <c r="G367" s="39"/>
      <c r="H367" s="203" t="s">
        <v>2984</v>
      </c>
      <c r="I367" s="190" t="s">
        <v>2493</v>
      </c>
      <c r="J367" s="22"/>
      <c r="K367" s="22"/>
      <c r="L367" s="22" t="s">
        <v>2985</v>
      </c>
      <c r="M367" s="135" t="s">
        <v>649</v>
      </c>
      <c r="N367" s="38" t="s">
        <v>2986</v>
      </c>
      <c r="O367" s="38" t="s">
        <v>2987</v>
      </c>
      <c r="P367" s="25"/>
      <c r="Q367" s="26" t="s">
        <v>2988</v>
      </c>
      <c r="R367" s="39" t="s">
        <v>517</v>
      </c>
      <c r="S367" s="77" t="s">
        <v>41</v>
      </c>
      <c r="T367" s="21"/>
      <c r="U367" s="28"/>
      <c r="V367" s="28"/>
      <c r="W367" s="29" t="s">
        <v>2223</v>
      </c>
      <c r="X367" s="29" t="s">
        <v>2224</v>
      </c>
      <c r="Y367" s="30" t="s">
        <v>2989</v>
      </c>
      <c r="Z367" s="30" t="s">
        <v>2990</v>
      </c>
      <c r="AA367" s="30" t="s">
        <v>2991</v>
      </c>
      <c r="AB367" s="41"/>
      <c r="AC367" s="32"/>
      <c r="AD367" s="21"/>
      <c r="AE367" s="32"/>
      <c r="AF367" s="32"/>
      <c r="AG367" s="32"/>
      <c r="AH367" s="32"/>
      <c r="AI367" s="32"/>
      <c r="AJ367" s="32"/>
      <c r="AK367" s="32"/>
      <c r="AL367" s="32"/>
      <c r="AM367" s="32"/>
      <c r="AN367" s="32"/>
      <c r="AO367" s="32"/>
      <c r="AP367" s="32"/>
      <c r="AQ367" s="32"/>
    </row>
    <row r="368" spans="1:43" ht="15.75" customHeight="1">
      <c r="A368" s="458" t="s">
        <v>2992</v>
      </c>
      <c r="B368" s="33" t="s">
        <v>429</v>
      </c>
      <c r="C368" s="247" t="s">
        <v>170</v>
      </c>
      <c r="D368" s="232"/>
      <c r="E368" s="58"/>
      <c r="F368" s="47" t="s">
        <v>2993</v>
      </c>
      <c r="G368" s="39"/>
      <c r="H368" s="203" t="s">
        <v>2994</v>
      </c>
      <c r="I368" s="190" t="s">
        <v>2493</v>
      </c>
      <c r="J368" s="22"/>
      <c r="K368" s="22"/>
      <c r="L368" s="22"/>
      <c r="M368" s="135" t="s">
        <v>2995</v>
      </c>
      <c r="N368" s="38" t="s">
        <v>2996</v>
      </c>
      <c r="O368" s="38" t="s">
        <v>2997</v>
      </c>
      <c r="P368" s="25"/>
      <c r="Q368" s="26" t="s">
        <v>2998</v>
      </c>
      <c r="R368" s="39" t="s">
        <v>517</v>
      </c>
      <c r="S368" s="77" t="s">
        <v>41</v>
      </c>
      <c r="T368" s="21"/>
      <c r="U368" s="28"/>
      <c r="V368" s="28"/>
      <c r="W368" s="29" t="s">
        <v>2223</v>
      </c>
      <c r="X368" s="29" t="s">
        <v>2224</v>
      </c>
      <c r="Y368" s="168" t="s">
        <v>2999</v>
      </c>
      <c r="Z368" s="30" t="s">
        <v>3000</v>
      </c>
      <c r="AA368" s="30" t="s">
        <v>3001</v>
      </c>
      <c r="AB368" s="41"/>
      <c r="AC368" s="32"/>
      <c r="AD368" s="21"/>
      <c r="AE368" s="32"/>
      <c r="AF368" s="32"/>
      <c r="AG368" s="32"/>
      <c r="AH368" s="32"/>
      <c r="AI368" s="32"/>
      <c r="AJ368" s="32"/>
      <c r="AK368" s="32"/>
      <c r="AL368" s="32"/>
      <c r="AM368" s="32"/>
      <c r="AN368" s="32"/>
      <c r="AO368" s="32"/>
      <c r="AP368" s="32"/>
      <c r="AQ368" s="32"/>
    </row>
    <row r="369" spans="1:43" ht="15.75" customHeight="1">
      <c r="A369" s="458" t="s">
        <v>3002</v>
      </c>
      <c r="B369" s="332" t="s">
        <v>429</v>
      </c>
      <c r="C369" s="262" t="s">
        <v>3003</v>
      </c>
      <c r="D369" s="333"/>
      <c r="E369" s="334"/>
      <c r="F369" s="335" t="s">
        <v>3004</v>
      </c>
      <c r="G369" s="336"/>
      <c r="H369" s="351" t="s">
        <v>3960</v>
      </c>
      <c r="I369" s="337" t="s">
        <v>2493</v>
      </c>
      <c r="J369" s="339"/>
      <c r="K369" s="339"/>
      <c r="L369" s="338"/>
      <c r="M369" s="340" t="s">
        <v>3005</v>
      </c>
      <c r="N369" s="341" t="s">
        <v>3988</v>
      </c>
      <c r="O369" s="341" t="s">
        <v>38</v>
      </c>
      <c r="P369" s="342"/>
      <c r="Q369" s="343" t="s">
        <v>1160</v>
      </c>
      <c r="R369" s="407" t="s">
        <v>517</v>
      </c>
      <c r="S369" s="344" t="s">
        <v>41</v>
      </c>
      <c r="T369" s="345"/>
      <c r="U369" s="352"/>
      <c r="V369" s="346"/>
      <c r="W369" s="347" t="s">
        <v>3006</v>
      </c>
      <c r="X369" s="347" t="s">
        <v>3007</v>
      </c>
      <c r="Y369" s="348" t="s">
        <v>3008</v>
      </c>
      <c r="Z369" s="421" t="s">
        <v>3009</v>
      </c>
      <c r="AA369" s="348" t="s">
        <v>3010</v>
      </c>
      <c r="AB369" s="349" t="s">
        <v>3959</v>
      </c>
      <c r="AC369" s="353" t="s">
        <v>3961</v>
      </c>
      <c r="AD369" s="345"/>
      <c r="AE369" s="32"/>
      <c r="AF369" s="32"/>
      <c r="AG369" s="32"/>
      <c r="AH369" s="32"/>
      <c r="AI369" s="32"/>
      <c r="AJ369" s="32"/>
      <c r="AK369" s="32"/>
      <c r="AL369" s="32"/>
      <c r="AM369" s="32"/>
      <c r="AN369" s="32"/>
      <c r="AO369" s="32"/>
      <c r="AP369" s="32"/>
      <c r="AQ369" s="32"/>
    </row>
    <row r="370" spans="1:43" ht="15.75" customHeight="1">
      <c r="A370" s="458" t="s">
        <v>3011</v>
      </c>
      <c r="B370" s="33" t="s">
        <v>429</v>
      </c>
      <c r="C370" s="246" t="s">
        <v>3012</v>
      </c>
      <c r="D370" s="232"/>
      <c r="E370" s="58"/>
      <c r="F370" s="47" t="s">
        <v>3013</v>
      </c>
      <c r="G370" s="39"/>
      <c r="H370" s="203" t="s">
        <v>3014</v>
      </c>
      <c r="I370" s="32" t="s">
        <v>2493</v>
      </c>
      <c r="J370" s="35"/>
      <c r="K370" s="82"/>
      <c r="L370" s="82"/>
      <c r="M370" s="135" t="s">
        <v>796</v>
      </c>
      <c r="N370" s="54" t="s">
        <v>3015</v>
      </c>
      <c r="O370" s="38" t="s">
        <v>38</v>
      </c>
      <c r="P370" s="55"/>
      <c r="Q370" s="26" t="s">
        <v>1160</v>
      </c>
      <c r="R370" s="94" t="s">
        <v>537</v>
      </c>
      <c r="S370" s="77" t="s">
        <v>41</v>
      </c>
      <c r="T370" s="21"/>
      <c r="U370" s="28"/>
      <c r="V370" s="28"/>
      <c r="W370" s="29" t="s">
        <v>2223</v>
      </c>
      <c r="X370" s="29" t="s">
        <v>2224</v>
      </c>
      <c r="Y370" s="195" t="s">
        <v>3016</v>
      </c>
      <c r="Z370" s="197"/>
      <c r="AA370" s="331" t="s">
        <v>3017</v>
      </c>
      <c r="AB370" s="424"/>
      <c r="AC370" s="16" t="s">
        <v>3018</v>
      </c>
      <c r="AD370" s="21"/>
      <c r="AE370" s="32"/>
      <c r="AF370" s="32"/>
      <c r="AG370" s="32"/>
      <c r="AH370" s="32"/>
      <c r="AI370" s="32"/>
      <c r="AJ370" s="32"/>
      <c r="AK370" s="32"/>
      <c r="AL370" s="32"/>
      <c r="AM370" s="32"/>
      <c r="AN370" s="32"/>
      <c r="AO370" s="32"/>
      <c r="AP370" s="32"/>
      <c r="AQ370" s="32"/>
    </row>
    <row r="371" spans="1:43" ht="15.75" customHeight="1">
      <c r="A371" s="458" t="s">
        <v>3019</v>
      </c>
      <c r="B371" s="33" t="s">
        <v>429</v>
      </c>
      <c r="C371" s="246" t="s">
        <v>3020</v>
      </c>
      <c r="D371" s="231" t="s">
        <v>3012</v>
      </c>
      <c r="E371" s="58" t="s">
        <v>3021</v>
      </c>
      <c r="F371" s="47" t="s">
        <v>3022</v>
      </c>
      <c r="G371" s="32" t="s">
        <v>3023</v>
      </c>
      <c r="H371" s="48" t="s">
        <v>3024</v>
      </c>
      <c r="I371" s="185" t="s">
        <v>3025</v>
      </c>
      <c r="J371" s="22" t="s">
        <v>2930</v>
      </c>
      <c r="K371" s="22"/>
      <c r="L371" s="22"/>
      <c r="M371" s="135" t="s">
        <v>2931</v>
      </c>
      <c r="N371" s="134" t="s">
        <v>3026</v>
      </c>
      <c r="O371" s="54"/>
      <c r="P371" s="55"/>
      <c r="Q371" s="56"/>
      <c r="R371" s="94" t="s">
        <v>1095</v>
      </c>
      <c r="S371" s="77" t="s">
        <v>41</v>
      </c>
      <c r="T371" s="21"/>
      <c r="U371" s="28"/>
      <c r="V371" s="28"/>
      <c r="W371" s="29" t="s">
        <v>2223</v>
      </c>
      <c r="X371" s="29" t="s">
        <v>2224</v>
      </c>
      <c r="Y371" s="30" t="s">
        <v>2794</v>
      </c>
      <c r="Z371" s="30"/>
      <c r="AA371" s="30"/>
      <c r="AB371" s="41"/>
      <c r="AC371" s="32"/>
      <c r="AD371" s="21"/>
      <c r="AE371" s="32"/>
      <c r="AF371" s="32"/>
      <c r="AG371" s="32"/>
      <c r="AH371" s="32"/>
      <c r="AI371" s="32"/>
      <c r="AJ371" s="32"/>
      <c r="AK371" s="32"/>
      <c r="AL371" s="32"/>
      <c r="AM371" s="32"/>
      <c r="AN371" s="32"/>
      <c r="AO371" s="32"/>
      <c r="AP371" s="32"/>
      <c r="AQ371" s="32"/>
    </row>
    <row r="372" spans="1:43" ht="15.75" customHeight="1">
      <c r="A372" s="458" t="s">
        <v>3027</v>
      </c>
      <c r="B372" s="33" t="s">
        <v>429</v>
      </c>
      <c r="C372" s="246" t="s">
        <v>3028</v>
      </c>
      <c r="D372" s="232"/>
      <c r="E372" s="58"/>
      <c r="F372" s="265" t="s">
        <v>3029</v>
      </c>
      <c r="G372" s="39"/>
      <c r="H372" s="203" t="s">
        <v>4023</v>
      </c>
      <c r="I372" s="190" t="s">
        <v>2493</v>
      </c>
      <c r="J372" s="82"/>
      <c r="K372" s="82"/>
      <c r="L372" s="82" t="s">
        <v>3030</v>
      </c>
      <c r="M372" s="209" t="s">
        <v>535</v>
      </c>
      <c r="N372" s="54" t="s">
        <v>3031</v>
      </c>
      <c r="O372" s="54"/>
      <c r="P372" s="55"/>
      <c r="Q372" s="56"/>
      <c r="R372" s="115" t="s">
        <v>537</v>
      </c>
      <c r="S372" s="77" t="s">
        <v>41</v>
      </c>
      <c r="T372" s="21"/>
      <c r="U372" s="28"/>
      <c r="V372" s="28"/>
      <c r="W372" s="29" t="s">
        <v>2223</v>
      </c>
      <c r="X372" s="29" t="s">
        <v>2224</v>
      </c>
      <c r="Y372" s="30" t="s">
        <v>3032</v>
      </c>
      <c r="Z372" s="30" t="s">
        <v>3033</v>
      </c>
      <c r="AA372" s="30" t="s">
        <v>3034</v>
      </c>
      <c r="AB372" s="108"/>
      <c r="AC372" s="32"/>
      <c r="AD372" s="21"/>
      <c r="AE372" s="32"/>
      <c r="AF372" s="32"/>
      <c r="AG372" s="32"/>
      <c r="AH372" s="32"/>
      <c r="AI372" s="32"/>
      <c r="AJ372" s="32"/>
      <c r="AK372" s="32"/>
      <c r="AL372" s="32"/>
      <c r="AM372" s="32"/>
      <c r="AN372" s="32"/>
      <c r="AO372" s="32"/>
      <c r="AP372" s="32"/>
      <c r="AQ372" s="32"/>
    </row>
    <row r="373" spans="1:43" ht="15.75" customHeight="1">
      <c r="A373" s="458" t="s">
        <v>3035</v>
      </c>
      <c r="B373" s="33" t="s">
        <v>429</v>
      </c>
      <c r="C373" s="247" t="s">
        <v>170</v>
      </c>
      <c r="D373" s="232"/>
      <c r="E373" s="58"/>
      <c r="F373" s="47" t="s">
        <v>3036</v>
      </c>
      <c r="G373" s="32" t="s">
        <v>3037</v>
      </c>
      <c r="H373" s="203" t="s">
        <v>3038</v>
      </c>
      <c r="I373" s="32" t="s">
        <v>3039</v>
      </c>
      <c r="J373" s="103" t="s">
        <v>3040</v>
      </c>
      <c r="K373" s="103"/>
      <c r="L373" s="103"/>
      <c r="M373" s="43" t="s">
        <v>136</v>
      </c>
      <c r="N373" s="54" t="s">
        <v>3041</v>
      </c>
      <c r="O373" s="54"/>
      <c r="P373" s="55"/>
      <c r="Q373" s="56"/>
      <c r="R373" s="295" t="s">
        <v>138</v>
      </c>
      <c r="S373" s="77" t="s">
        <v>41</v>
      </c>
      <c r="T373" s="21"/>
      <c r="U373" s="28"/>
      <c r="V373" s="28"/>
      <c r="W373" s="29" t="s">
        <v>2223</v>
      </c>
      <c r="X373" s="29" t="s">
        <v>2224</v>
      </c>
      <c r="Y373" s="30" t="s">
        <v>2794</v>
      </c>
      <c r="Z373" s="30"/>
      <c r="AA373" s="30"/>
      <c r="AB373" s="108"/>
      <c r="AC373" s="32"/>
      <c r="AD373" s="21"/>
      <c r="AE373" s="32"/>
      <c r="AF373" s="32"/>
      <c r="AG373" s="32"/>
      <c r="AH373" s="32"/>
      <c r="AI373" s="32"/>
      <c r="AJ373" s="32"/>
      <c r="AK373" s="32"/>
      <c r="AL373" s="32"/>
      <c r="AM373" s="32"/>
      <c r="AN373" s="32"/>
      <c r="AO373" s="32"/>
      <c r="AP373" s="32"/>
      <c r="AQ373" s="32"/>
    </row>
    <row r="374" spans="1:43" ht="15.75" customHeight="1">
      <c r="A374" s="458" t="s">
        <v>3042</v>
      </c>
      <c r="B374" s="33" t="s">
        <v>429</v>
      </c>
      <c r="C374" s="246" t="s">
        <v>3043</v>
      </c>
      <c r="D374" s="232"/>
      <c r="E374" s="58"/>
      <c r="F374" s="47" t="s">
        <v>3044</v>
      </c>
      <c r="G374" s="39"/>
      <c r="H374" s="203" t="s">
        <v>3045</v>
      </c>
      <c r="I374" s="190" t="s">
        <v>2493</v>
      </c>
      <c r="J374" s="82"/>
      <c r="K374" s="82"/>
      <c r="L374" s="82" t="s">
        <v>764</v>
      </c>
      <c r="M374" s="135" t="s">
        <v>889</v>
      </c>
      <c r="N374" s="54" t="s">
        <v>3046</v>
      </c>
      <c r="O374" s="54" t="s">
        <v>3047</v>
      </c>
      <c r="P374" s="55"/>
      <c r="Q374" s="56" t="s">
        <v>3048</v>
      </c>
      <c r="R374" s="39" t="s">
        <v>517</v>
      </c>
      <c r="S374" s="77" t="s">
        <v>41</v>
      </c>
      <c r="T374" s="21"/>
      <c r="U374" s="28"/>
      <c r="V374" s="28"/>
      <c r="W374" s="29" t="s">
        <v>2223</v>
      </c>
      <c r="X374" s="29" t="s">
        <v>2224</v>
      </c>
      <c r="Y374" s="30" t="s">
        <v>3049</v>
      </c>
      <c r="Z374" s="102" t="s">
        <v>3050</v>
      </c>
      <c r="AA374" s="30" t="s">
        <v>3051</v>
      </c>
      <c r="AB374" s="41"/>
      <c r="AC374" s="32"/>
      <c r="AD374" s="21"/>
      <c r="AE374" s="32"/>
      <c r="AF374" s="32"/>
      <c r="AG374" s="32"/>
      <c r="AH374" s="32"/>
      <c r="AI374" s="32"/>
      <c r="AJ374" s="32"/>
      <c r="AK374" s="32"/>
      <c r="AL374" s="32"/>
      <c r="AM374" s="32"/>
      <c r="AN374" s="32"/>
      <c r="AO374" s="32"/>
      <c r="AP374" s="32"/>
      <c r="AQ374" s="32"/>
    </row>
    <row r="375" spans="1:43" ht="15.75" customHeight="1">
      <c r="A375" s="458" t="s">
        <v>3052</v>
      </c>
      <c r="B375" s="33" t="s">
        <v>429</v>
      </c>
      <c r="C375" s="246" t="s">
        <v>3053</v>
      </c>
      <c r="D375" s="232"/>
      <c r="E375" s="58"/>
      <c r="F375" s="16" t="s">
        <v>3054</v>
      </c>
      <c r="G375" s="32"/>
      <c r="H375" s="203" t="s">
        <v>3055</v>
      </c>
      <c r="I375" s="190" t="s">
        <v>2493</v>
      </c>
      <c r="J375" s="82" t="s">
        <v>3056</v>
      </c>
      <c r="K375" s="82"/>
      <c r="L375" s="82"/>
      <c r="M375" s="113" t="s">
        <v>3057</v>
      </c>
      <c r="N375" s="54" t="s">
        <v>3058</v>
      </c>
      <c r="O375" s="294" t="s">
        <v>38</v>
      </c>
      <c r="P375" s="112"/>
      <c r="Q375" s="56" t="s">
        <v>39</v>
      </c>
      <c r="R375" s="96" t="s">
        <v>537</v>
      </c>
      <c r="S375" s="206" t="s">
        <v>41</v>
      </c>
      <c r="T375" s="21"/>
      <c r="U375" s="28"/>
      <c r="V375" s="28"/>
      <c r="W375" s="29" t="s">
        <v>2223</v>
      </c>
      <c r="X375" s="29" t="s">
        <v>2224</v>
      </c>
      <c r="Y375" s="419" t="s">
        <v>3059</v>
      </c>
      <c r="Z375" s="418"/>
      <c r="AA375" s="30" t="s">
        <v>3060</v>
      </c>
      <c r="AB375" s="41"/>
      <c r="AC375" s="66" t="s">
        <v>3061</v>
      </c>
      <c r="AD375" s="21"/>
      <c r="AE375" s="32"/>
      <c r="AF375" s="32"/>
      <c r="AG375" s="32"/>
      <c r="AH375" s="32"/>
      <c r="AI375" s="32"/>
      <c r="AJ375" s="32"/>
      <c r="AK375" s="32"/>
      <c r="AL375" s="32"/>
      <c r="AM375" s="32"/>
      <c r="AN375" s="32"/>
      <c r="AO375" s="32"/>
      <c r="AP375" s="32"/>
      <c r="AQ375" s="32"/>
    </row>
    <row r="376" spans="1:43" ht="48" customHeight="1">
      <c r="A376" s="461" t="s">
        <v>3062</v>
      </c>
      <c r="B376" s="33" t="s">
        <v>429</v>
      </c>
      <c r="C376" s="259" t="s">
        <v>170</v>
      </c>
      <c r="E376" s="227"/>
      <c r="F376" s="370" t="s">
        <v>3799</v>
      </c>
      <c r="G376" s="227"/>
      <c r="H376" s="360" t="s">
        <v>3758</v>
      </c>
      <c r="I376" s="360" t="s">
        <v>3063</v>
      </c>
      <c r="J376" s="227"/>
      <c r="K376" s="227"/>
      <c r="L376" s="227"/>
      <c r="M376" s="386" t="s">
        <v>2068</v>
      </c>
      <c r="N376" s="395" t="s">
        <v>2069</v>
      </c>
      <c r="O376" s="227"/>
      <c r="P376" s="227"/>
      <c r="Q376" s="227"/>
      <c r="R376" s="227" t="s">
        <v>634</v>
      </c>
      <c r="S376" s="360" t="s">
        <v>41</v>
      </c>
      <c r="T376" s="360" t="s">
        <v>3759</v>
      </c>
      <c r="U376" s="227"/>
      <c r="V376" s="227"/>
      <c r="W376" s="227"/>
      <c r="X376" s="227"/>
      <c r="Y376" s="227"/>
      <c r="Z376" s="227"/>
      <c r="AA376" s="227"/>
      <c r="AB376" s="227"/>
      <c r="AC376" s="227"/>
      <c r="AD376" s="360" t="s">
        <v>3760</v>
      </c>
      <c r="AE376" s="227"/>
      <c r="AF376" s="227"/>
      <c r="AG376" s="227"/>
      <c r="AH376" s="227"/>
      <c r="AI376" s="227"/>
      <c r="AJ376" s="227"/>
      <c r="AK376" s="227"/>
      <c r="AL376" s="227"/>
      <c r="AM376" s="227"/>
      <c r="AN376" s="227"/>
      <c r="AO376" s="227"/>
      <c r="AP376" s="227"/>
      <c r="AQ376" s="227"/>
    </row>
    <row r="377" spans="1:43" ht="15.75" customHeight="1">
      <c r="A377" s="458" t="s">
        <v>3064</v>
      </c>
      <c r="B377" s="33" t="s">
        <v>429</v>
      </c>
      <c r="C377" s="247" t="s">
        <v>170</v>
      </c>
      <c r="D377" s="232"/>
      <c r="E377" s="58"/>
      <c r="F377" s="265" t="s">
        <v>3065</v>
      </c>
      <c r="G377" s="32"/>
      <c r="H377" s="203" t="s">
        <v>3066</v>
      </c>
      <c r="I377" s="32" t="s">
        <v>2493</v>
      </c>
      <c r="J377" s="82"/>
      <c r="K377" s="82"/>
      <c r="L377" s="82" t="s">
        <v>419</v>
      </c>
      <c r="M377" s="135" t="s">
        <v>3067</v>
      </c>
      <c r="N377" s="54" t="s">
        <v>3068</v>
      </c>
      <c r="O377" s="54"/>
      <c r="P377" s="74" t="s">
        <v>3069</v>
      </c>
      <c r="Q377" s="56" t="s">
        <v>3070</v>
      </c>
      <c r="R377" s="94" t="s">
        <v>537</v>
      </c>
      <c r="S377" s="77" t="s">
        <v>41</v>
      </c>
      <c r="T377" s="21"/>
      <c r="U377" s="28"/>
      <c r="V377" s="28"/>
      <c r="W377" s="29" t="s">
        <v>2223</v>
      </c>
      <c r="X377" s="29" t="s">
        <v>2224</v>
      </c>
      <c r="Y377" s="418" t="s">
        <v>2794</v>
      </c>
      <c r="Z377" s="418"/>
      <c r="AA377" s="195" t="s">
        <v>3071</v>
      </c>
      <c r="AB377" s="108"/>
      <c r="AC377" s="32"/>
      <c r="AD377" s="21"/>
      <c r="AE377" s="32"/>
      <c r="AF377" s="32"/>
      <c r="AG377" s="32"/>
      <c r="AH377" s="32"/>
      <c r="AI377" s="32"/>
      <c r="AJ377" s="32"/>
      <c r="AK377" s="32"/>
      <c r="AL377" s="32"/>
      <c r="AM377" s="32"/>
      <c r="AN377" s="32"/>
      <c r="AO377" s="32"/>
      <c r="AP377" s="32"/>
      <c r="AQ377" s="32"/>
    </row>
    <row r="378" spans="1:43" ht="15.75" customHeight="1">
      <c r="A378" s="458" t="s">
        <v>3072</v>
      </c>
      <c r="B378" s="33" t="s">
        <v>429</v>
      </c>
      <c r="C378" s="247" t="s">
        <v>170</v>
      </c>
      <c r="D378" s="232"/>
      <c r="E378" s="58"/>
      <c r="F378" s="47" t="s">
        <v>3073</v>
      </c>
      <c r="G378" s="32"/>
      <c r="H378" s="203" t="s">
        <v>3074</v>
      </c>
      <c r="I378" s="190" t="s">
        <v>2493</v>
      </c>
      <c r="J378" s="35"/>
      <c r="K378" s="107"/>
      <c r="L378" s="107" t="s">
        <v>3075</v>
      </c>
      <c r="M378" s="135" t="s">
        <v>3076</v>
      </c>
      <c r="N378" s="38" t="s">
        <v>3077</v>
      </c>
      <c r="O378" s="38"/>
      <c r="P378" s="25"/>
      <c r="Q378" s="26"/>
      <c r="R378" s="94" t="s">
        <v>537</v>
      </c>
      <c r="S378" s="77" t="s">
        <v>41</v>
      </c>
      <c r="T378" s="21"/>
      <c r="U378" s="28"/>
      <c r="V378" s="28"/>
      <c r="W378" s="29" t="s">
        <v>2223</v>
      </c>
      <c r="X378" s="29" t="s">
        <v>2224</v>
      </c>
      <c r="Y378" s="197" t="s">
        <v>2794</v>
      </c>
      <c r="Z378" s="197"/>
      <c r="AA378" s="197" t="s">
        <v>3078</v>
      </c>
      <c r="AB378" s="108" t="s">
        <v>3079</v>
      </c>
      <c r="AC378" s="32"/>
      <c r="AD378" s="21"/>
      <c r="AE378" s="32"/>
      <c r="AF378" s="32"/>
      <c r="AG378" s="32"/>
      <c r="AH378" s="32"/>
      <c r="AI378" s="32"/>
      <c r="AJ378" s="32"/>
      <c r="AK378" s="32"/>
      <c r="AL378" s="32"/>
      <c r="AM378" s="32"/>
      <c r="AN378" s="32"/>
      <c r="AO378" s="32"/>
      <c r="AP378" s="32"/>
      <c r="AQ378" s="32"/>
    </row>
    <row r="379" spans="1:43" ht="15.75" customHeight="1">
      <c r="A379" s="458" t="s">
        <v>3080</v>
      </c>
      <c r="B379" s="33" t="s">
        <v>429</v>
      </c>
      <c r="C379" s="247" t="s">
        <v>170</v>
      </c>
      <c r="D379" s="232"/>
      <c r="E379" s="58"/>
      <c r="F379" s="47" t="s">
        <v>3081</v>
      </c>
      <c r="G379" s="32"/>
      <c r="H379" s="203" t="s">
        <v>3082</v>
      </c>
      <c r="I379" s="190" t="s">
        <v>2493</v>
      </c>
      <c r="J379" s="82"/>
      <c r="K379" s="82"/>
      <c r="L379" s="82"/>
      <c r="M379" s="135" t="s">
        <v>3083</v>
      </c>
      <c r="N379" s="54" t="s">
        <v>3084</v>
      </c>
      <c r="O379" s="394" t="s">
        <v>3085</v>
      </c>
      <c r="P379" s="112"/>
      <c r="Q379" s="56" t="s">
        <v>3086</v>
      </c>
      <c r="R379" s="39" t="s">
        <v>517</v>
      </c>
      <c r="S379" s="77" t="s">
        <v>41</v>
      </c>
      <c r="T379" s="21"/>
      <c r="U379" s="28"/>
      <c r="V379" s="28"/>
      <c r="W379" s="29" t="s">
        <v>2223</v>
      </c>
      <c r="X379" s="29" t="s">
        <v>2224</v>
      </c>
      <c r="Y379" s="168" t="s">
        <v>3087</v>
      </c>
      <c r="Z379" s="30" t="s">
        <v>3088</v>
      </c>
      <c r="AA379" s="30" t="s">
        <v>3089</v>
      </c>
      <c r="AB379" s="108"/>
      <c r="AC379" s="32"/>
      <c r="AD379" s="21"/>
      <c r="AE379" s="32"/>
      <c r="AF379" s="32"/>
      <c r="AG379" s="32"/>
      <c r="AH379" s="32"/>
      <c r="AI379" s="32"/>
      <c r="AJ379" s="32"/>
      <c r="AK379" s="32"/>
      <c r="AL379" s="32"/>
      <c r="AM379" s="32"/>
      <c r="AN379" s="32"/>
      <c r="AO379" s="32"/>
      <c r="AP379" s="32"/>
      <c r="AQ379" s="32"/>
    </row>
    <row r="380" spans="1:43" ht="15.75" customHeight="1">
      <c r="A380" s="458" t="s">
        <v>3090</v>
      </c>
      <c r="B380" s="33" t="s">
        <v>429</v>
      </c>
      <c r="C380" s="246" t="s">
        <v>3091</v>
      </c>
      <c r="D380" s="232"/>
      <c r="E380" s="58"/>
      <c r="F380" s="16" t="s">
        <v>3092</v>
      </c>
      <c r="G380" s="32"/>
      <c r="H380" s="203" t="s">
        <v>3093</v>
      </c>
      <c r="I380" s="190" t="s">
        <v>2493</v>
      </c>
      <c r="J380" s="82"/>
      <c r="K380" s="82"/>
      <c r="L380" s="82" t="s">
        <v>3094</v>
      </c>
      <c r="M380" s="135" t="s">
        <v>889</v>
      </c>
      <c r="N380" s="38" t="s">
        <v>3095</v>
      </c>
      <c r="O380" s="38" t="s">
        <v>3096</v>
      </c>
      <c r="P380" s="74" t="s">
        <v>3097</v>
      </c>
      <c r="Q380" s="56" t="s">
        <v>3098</v>
      </c>
      <c r="R380" s="39" t="s">
        <v>517</v>
      </c>
      <c r="S380" s="77" t="s">
        <v>41</v>
      </c>
      <c r="T380" s="21"/>
      <c r="U380" s="28"/>
      <c r="V380" s="28"/>
      <c r="W380" s="29" t="s">
        <v>2223</v>
      </c>
      <c r="X380" s="29" t="s">
        <v>2224</v>
      </c>
      <c r="Y380" s="168" t="s">
        <v>3099</v>
      </c>
      <c r="Z380" s="102" t="s">
        <v>3100</v>
      </c>
      <c r="AA380" s="30" t="s">
        <v>3101</v>
      </c>
      <c r="AB380" s="108"/>
      <c r="AC380" s="32"/>
      <c r="AD380" s="21"/>
      <c r="AE380" s="32"/>
      <c r="AF380" s="32"/>
      <c r="AG380" s="32"/>
      <c r="AH380" s="32"/>
      <c r="AI380" s="32"/>
      <c r="AJ380" s="32"/>
      <c r="AK380" s="32"/>
      <c r="AL380" s="32"/>
      <c r="AM380" s="32"/>
      <c r="AN380" s="32"/>
      <c r="AO380" s="32"/>
      <c r="AP380" s="32"/>
      <c r="AQ380" s="32"/>
    </row>
    <row r="381" spans="1:43" s="329" customFormat="1" ht="15.75" customHeight="1">
      <c r="A381" s="458" t="s">
        <v>3102</v>
      </c>
      <c r="B381" s="33" t="s">
        <v>429</v>
      </c>
      <c r="C381" s="247" t="s">
        <v>170</v>
      </c>
      <c r="D381" s="232"/>
      <c r="E381" s="58"/>
      <c r="F381" s="373" t="s">
        <v>3103</v>
      </c>
      <c r="G381" s="32"/>
      <c r="H381" s="203" t="s">
        <v>3104</v>
      </c>
      <c r="I381" s="32" t="s">
        <v>2493</v>
      </c>
      <c r="J381" s="98"/>
      <c r="K381" s="103"/>
      <c r="L381" s="103" t="s">
        <v>3105</v>
      </c>
      <c r="M381" s="135" t="s">
        <v>535</v>
      </c>
      <c r="N381" s="54" t="s">
        <v>3106</v>
      </c>
      <c r="O381" s="54"/>
      <c r="P381" s="55"/>
      <c r="Q381" s="210"/>
      <c r="R381" s="94" t="s">
        <v>537</v>
      </c>
      <c r="S381" s="77" t="s">
        <v>41</v>
      </c>
      <c r="T381" s="21"/>
      <c r="U381" s="28"/>
      <c r="V381" s="28"/>
      <c r="W381" s="29" t="s">
        <v>2223</v>
      </c>
      <c r="X381" s="29" t="s">
        <v>2224</v>
      </c>
      <c r="Y381" s="195" t="s">
        <v>2794</v>
      </c>
      <c r="Z381" s="422"/>
      <c r="AA381" s="211" t="s">
        <v>3107</v>
      </c>
      <c r="AB381" s="108"/>
      <c r="AC381" s="47" t="s">
        <v>3108</v>
      </c>
      <c r="AD381" s="21"/>
      <c r="AE381" s="328"/>
      <c r="AF381" s="328"/>
      <c r="AG381" s="328"/>
      <c r="AH381" s="328"/>
      <c r="AI381" s="328"/>
      <c r="AJ381" s="328"/>
      <c r="AK381" s="328"/>
      <c r="AL381" s="328"/>
      <c r="AM381" s="328"/>
      <c r="AN381" s="328"/>
      <c r="AO381" s="328"/>
      <c r="AP381" s="328"/>
      <c r="AQ381" s="328"/>
    </row>
    <row r="383" spans="1:43" ht="15.75" customHeight="1">
      <c r="A383" s="458" t="s">
        <v>3963</v>
      </c>
      <c r="B383" s="33" t="s">
        <v>429</v>
      </c>
      <c r="C383" s="246" t="s">
        <v>3109</v>
      </c>
      <c r="D383" s="232"/>
      <c r="E383" s="58"/>
      <c r="F383" s="16" t="s">
        <v>3110</v>
      </c>
      <c r="G383" s="39"/>
      <c r="H383" s="203" t="s">
        <v>3111</v>
      </c>
      <c r="I383" s="190" t="s">
        <v>2493</v>
      </c>
      <c r="J383" s="82"/>
      <c r="K383" s="82"/>
      <c r="L383" s="22"/>
      <c r="M383" s="135" t="s">
        <v>3112</v>
      </c>
      <c r="N383" s="54" t="s">
        <v>3113</v>
      </c>
      <c r="O383" s="54" t="s">
        <v>38</v>
      </c>
      <c r="P383" s="55"/>
      <c r="Q383" s="56" t="s">
        <v>1160</v>
      </c>
      <c r="R383" s="94" t="s">
        <v>537</v>
      </c>
      <c r="S383" s="77" t="s">
        <v>41</v>
      </c>
      <c r="T383" s="21"/>
      <c r="U383" s="28"/>
      <c r="V383" s="28"/>
      <c r="W383" s="29" t="s">
        <v>2223</v>
      </c>
      <c r="X383" s="29" t="s">
        <v>2224</v>
      </c>
      <c r="Y383" s="30" t="s">
        <v>2794</v>
      </c>
      <c r="Z383" s="30"/>
      <c r="AA383" s="30" t="s">
        <v>3114</v>
      </c>
      <c r="AB383" s="41"/>
      <c r="AC383" s="32"/>
      <c r="AD383" s="21"/>
      <c r="AE383" s="32"/>
      <c r="AF383" s="32"/>
      <c r="AG383" s="32"/>
      <c r="AH383" s="32"/>
      <c r="AI383" s="32"/>
      <c r="AJ383" s="32"/>
      <c r="AK383" s="32"/>
      <c r="AL383" s="32"/>
      <c r="AM383" s="32"/>
      <c r="AN383" s="32"/>
      <c r="AO383" s="32"/>
      <c r="AP383" s="32"/>
      <c r="AQ383" s="32"/>
    </row>
    <row r="384" spans="1:43" ht="15.75" customHeight="1">
      <c r="A384" s="458" t="s">
        <v>3809</v>
      </c>
      <c r="B384" s="33" t="s">
        <v>429</v>
      </c>
      <c r="C384" s="246" t="s">
        <v>3115</v>
      </c>
      <c r="D384" s="232"/>
      <c r="E384" s="58"/>
      <c r="F384" s="32" t="s">
        <v>2271</v>
      </c>
      <c r="G384" s="32"/>
      <c r="H384" s="203" t="s">
        <v>2605</v>
      </c>
      <c r="I384" s="190" t="s">
        <v>3116</v>
      </c>
      <c r="J384" s="98"/>
      <c r="K384" s="82"/>
      <c r="L384" s="22" t="s">
        <v>1176</v>
      </c>
      <c r="M384" s="154" t="s">
        <v>853</v>
      </c>
      <c r="N384" s="54" t="s">
        <v>3117</v>
      </c>
      <c r="O384" s="54"/>
      <c r="P384" s="55"/>
      <c r="Q384" s="56"/>
      <c r="R384" s="39" t="s">
        <v>370</v>
      </c>
      <c r="S384" s="77" t="s">
        <v>41</v>
      </c>
      <c r="T384" s="21" t="s">
        <v>3118</v>
      </c>
      <c r="U384" s="28"/>
      <c r="V384" s="28"/>
      <c r="W384" s="29"/>
      <c r="X384" s="29"/>
      <c r="Y384" s="30"/>
      <c r="Z384" s="30"/>
      <c r="AA384" s="30"/>
      <c r="AB384" s="41"/>
      <c r="AC384" s="32"/>
      <c r="AD384" s="21"/>
      <c r="AE384" s="32"/>
      <c r="AF384" s="32"/>
      <c r="AG384" s="32"/>
      <c r="AH384" s="32"/>
      <c r="AI384" s="32"/>
      <c r="AJ384" s="32"/>
      <c r="AK384" s="32"/>
      <c r="AL384" s="32"/>
      <c r="AM384" s="32"/>
      <c r="AN384" s="32"/>
      <c r="AO384" s="32"/>
      <c r="AP384" s="32"/>
      <c r="AQ384" s="32"/>
    </row>
    <row r="385" spans="1:43" ht="15.75" customHeight="1">
      <c r="A385" s="458" t="s">
        <v>3808</v>
      </c>
      <c r="B385" s="33" t="s">
        <v>429</v>
      </c>
      <c r="C385" s="246" t="s">
        <v>3115</v>
      </c>
      <c r="D385" s="232"/>
      <c r="E385" s="58"/>
      <c r="F385" s="32" t="s">
        <v>2271</v>
      </c>
      <c r="G385" s="39"/>
      <c r="H385" s="203" t="s">
        <v>3119</v>
      </c>
      <c r="I385" s="190" t="s">
        <v>3120</v>
      </c>
      <c r="J385" s="35"/>
      <c r="K385" s="107"/>
      <c r="L385" s="107" t="s">
        <v>852</v>
      </c>
      <c r="M385" s="154" t="s">
        <v>853</v>
      </c>
      <c r="N385" s="54" t="s">
        <v>3117</v>
      </c>
      <c r="O385" s="54"/>
      <c r="P385" s="55"/>
      <c r="Q385" s="56"/>
      <c r="R385" s="39" t="s">
        <v>370</v>
      </c>
      <c r="S385" s="77" t="s">
        <v>41</v>
      </c>
      <c r="T385" s="21" t="s">
        <v>3121</v>
      </c>
      <c r="U385" s="28"/>
      <c r="V385" s="28"/>
      <c r="W385" s="29"/>
      <c r="X385" s="29"/>
      <c r="Y385" s="30"/>
      <c r="Z385" s="30"/>
      <c r="AA385" s="30"/>
      <c r="AB385" s="41"/>
      <c r="AC385" s="32"/>
      <c r="AD385" s="21"/>
      <c r="AE385" s="32"/>
      <c r="AF385" s="32"/>
      <c r="AG385" s="32"/>
      <c r="AH385" s="32"/>
      <c r="AI385" s="32"/>
      <c r="AJ385" s="32"/>
      <c r="AK385" s="32"/>
      <c r="AL385" s="32"/>
      <c r="AM385" s="32"/>
      <c r="AN385" s="32"/>
      <c r="AO385" s="32"/>
      <c r="AP385" s="32"/>
      <c r="AQ385" s="32"/>
    </row>
    <row r="386" spans="1:43" ht="15.75" customHeight="1">
      <c r="A386" s="458" t="s">
        <v>3122</v>
      </c>
      <c r="B386" s="33" t="s">
        <v>429</v>
      </c>
      <c r="C386" s="246" t="s">
        <v>3123</v>
      </c>
      <c r="D386" s="232"/>
      <c r="E386" s="58"/>
      <c r="F386" s="16" t="s">
        <v>3124</v>
      </c>
      <c r="G386" s="39"/>
      <c r="H386" s="203" t="s">
        <v>3125</v>
      </c>
      <c r="I386" s="190" t="s">
        <v>2493</v>
      </c>
      <c r="J386" s="22"/>
      <c r="K386" s="22"/>
      <c r="L386" s="22" t="s">
        <v>2260</v>
      </c>
      <c r="M386" s="135" t="s">
        <v>535</v>
      </c>
      <c r="N386" s="38" t="s">
        <v>1230</v>
      </c>
      <c r="O386" s="54"/>
      <c r="P386" s="55"/>
      <c r="Q386" s="56"/>
      <c r="R386" s="94" t="s">
        <v>537</v>
      </c>
      <c r="S386" s="77" t="s">
        <v>41</v>
      </c>
      <c r="T386" s="21"/>
      <c r="U386" s="28"/>
      <c r="V386" s="28"/>
      <c r="W386" s="29"/>
      <c r="X386" s="29"/>
      <c r="Y386" s="30"/>
      <c r="Z386" s="30"/>
      <c r="AA386" s="30" t="s">
        <v>3126</v>
      </c>
      <c r="AB386" s="41"/>
      <c r="AC386" s="32"/>
      <c r="AD386" s="21"/>
      <c r="AE386" s="32"/>
      <c r="AF386" s="32"/>
      <c r="AG386" s="32"/>
      <c r="AH386" s="32"/>
      <c r="AI386" s="32"/>
      <c r="AJ386" s="32"/>
      <c r="AK386" s="32"/>
      <c r="AL386" s="32"/>
      <c r="AM386" s="32"/>
      <c r="AN386" s="32"/>
      <c r="AO386" s="32"/>
      <c r="AP386" s="32"/>
      <c r="AQ386" s="32"/>
    </row>
    <row r="387" spans="1:43" ht="15.75" customHeight="1">
      <c r="A387" s="458" t="s">
        <v>3127</v>
      </c>
      <c r="B387" s="33" t="s">
        <v>429</v>
      </c>
      <c r="C387" s="246" t="s">
        <v>3128</v>
      </c>
      <c r="D387" s="232"/>
      <c r="E387" s="58"/>
      <c r="F387" s="47" t="s">
        <v>3129</v>
      </c>
      <c r="G387" s="39"/>
      <c r="H387" s="203" t="s">
        <v>3130</v>
      </c>
      <c r="I387" s="190" t="s">
        <v>2493</v>
      </c>
      <c r="J387" s="22" t="s">
        <v>1780</v>
      </c>
      <c r="K387" s="22"/>
      <c r="L387" s="22"/>
      <c r="M387" s="212" t="s">
        <v>3131</v>
      </c>
      <c r="N387" s="38" t="s">
        <v>3132</v>
      </c>
      <c r="O387" s="38"/>
      <c r="P387" s="55"/>
      <c r="Q387" s="56"/>
      <c r="R387" s="96" t="s">
        <v>537</v>
      </c>
      <c r="S387" s="77" t="s">
        <v>41</v>
      </c>
      <c r="T387" s="21"/>
      <c r="U387" s="28"/>
      <c r="V387" s="28"/>
      <c r="W387" s="29" t="s">
        <v>3133</v>
      </c>
      <c r="X387" s="29" t="s">
        <v>3134</v>
      </c>
      <c r="Y387" s="30" t="s">
        <v>3135</v>
      </c>
      <c r="Z387" s="30"/>
      <c r="AA387" s="30" t="s">
        <v>3136</v>
      </c>
      <c r="AB387" s="41"/>
      <c r="AC387" s="32"/>
      <c r="AD387" s="21"/>
      <c r="AE387" s="32"/>
      <c r="AF387" s="32"/>
      <c r="AG387" s="32"/>
      <c r="AH387" s="32"/>
      <c r="AI387" s="32"/>
      <c r="AJ387" s="32"/>
      <c r="AK387" s="32"/>
      <c r="AL387" s="32"/>
      <c r="AM387" s="32"/>
      <c r="AN387" s="32"/>
      <c r="AO387" s="32"/>
      <c r="AP387" s="32"/>
      <c r="AQ387" s="32"/>
    </row>
    <row r="388" spans="1:43" ht="15.75" customHeight="1">
      <c r="A388" s="458" t="s">
        <v>3807</v>
      </c>
      <c r="B388" s="33" t="s">
        <v>429</v>
      </c>
      <c r="C388" s="257" t="s">
        <v>3137</v>
      </c>
      <c r="D388" s="232"/>
      <c r="E388" s="58"/>
      <c r="F388" s="47" t="s">
        <v>3138</v>
      </c>
      <c r="G388" s="32"/>
      <c r="H388" s="48" t="s">
        <v>3139</v>
      </c>
      <c r="I388" s="32" t="s">
        <v>2493</v>
      </c>
      <c r="J388" s="103"/>
      <c r="K388" s="103"/>
      <c r="L388" s="103" t="s">
        <v>3140</v>
      </c>
      <c r="M388" s="135" t="s">
        <v>649</v>
      </c>
      <c r="N388" s="54" t="s">
        <v>3141</v>
      </c>
      <c r="O388" s="54"/>
      <c r="P388" s="55"/>
      <c r="Q388" s="56"/>
      <c r="R388" s="94" t="s">
        <v>537</v>
      </c>
      <c r="S388" s="77" t="s">
        <v>41</v>
      </c>
      <c r="T388" s="21" t="s">
        <v>3142</v>
      </c>
      <c r="U388" s="28"/>
      <c r="V388" s="28"/>
      <c r="W388" s="29" t="s">
        <v>3133</v>
      </c>
      <c r="X388" s="29" t="s">
        <v>3134</v>
      </c>
      <c r="Y388" s="30" t="s">
        <v>3143</v>
      </c>
      <c r="Z388" s="30"/>
      <c r="AA388" s="30" t="s">
        <v>3144</v>
      </c>
      <c r="AB388" s="46" t="s">
        <v>3145</v>
      </c>
      <c r="AC388" s="32"/>
      <c r="AD388" s="21"/>
      <c r="AE388" s="32"/>
      <c r="AF388" s="32"/>
      <c r="AG388" s="32"/>
      <c r="AH388" s="32"/>
      <c r="AI388" s="32"/>
      <c r="AJ388" s="32"/>
      <c r="AK388" s="32"/>
      <c r="AL388" s="32"/>
      <c r="AM388" s="32"/>
      <c r="AN388" s="32"/>
      <c r="AO388" s="32"/>
      <c r="AP388" s="32"/>
      <c r="AQ388" s="32"/>
    </row>
    <row r="389" spans="1:43" ht="45.75" customHeight="1">
      <c r="A389" s="461" t="s">
        <v>3146</v>
      </c>
      <c r="B389" s="358" t="s">
        <v>3761</v>
      </c>
      <c r="C389" s="259" t="s">
        <v>170</v>
      </c>
      <c r="E389" s="227"/>
      <c r="F389" s="370" t="s">
        <v>3762</v>
      </c>
      <c r="G389" s="227"/>
      <c r="H389" s="376" t="s">
        <v>3763</v>
      </c>
      <c r="I389" s="376" t="s">
        <v>3147</v>
      </c>
      <c r="J389" s="227"/>
      <c r="K389" s="227"/>
      <c r="L389" s="227" t="s">
        <v>3764</v>
      </c>
      <c r="M389" s="386" t="s">
        <v>2068</v>
      </c>
      <c r="N389" s="395" t="s">
        <v>2069</v>
      </c>
      <c r="O389" s="227"/>
      <c r="P389" s="227"/>
      <c r="Q389" s="227"/>
      <c r="R389" s="227" t="s">
        <v>634</v>
      </c>
      <c r="S389" s="360" t="s">
        <v>41</v>
      </c>
      <c r="T389" s="360" t="s">
        <v>3765</v>
      </c>
      <c r="U389" s="227"/>
      <c r="V389" s="227"/>
      <c r="W389" s="227"/>
      <c r="X389" s="227"/>
      <c r="Y389" s="227"/>
      <c r="Z389" s="227"/>
      <c r="AA389" s="227"/>
      <c r="AB389" s="227"/>
      <c r="AC389" s="227"/>
      <c r="AD389" s="360" t="s">
        <v>3766</v>
      </c>
      <c r="AE389" s="227"/>
      <c r="AF389" s="227"/>
      <c r="AG389" s="227"/>
      <c r="AH389" s="227"/>
      <c r="AI389" s="227"/>
      <c r="AJ389" s="227"/>
      <c r="AK389" s="227"/>
      <c r="AL389" s="227"/>
      <c r="AM389" s="227"/>
      <c r="AN389" s="227"/>
      <c r="AO389" s="227"/>
      <c r="AP389" s="227"/>
      <c r="AQ389" s="227"/>
    </row>
    <row r="390" spans="1:43" ht="15.75" customHeight="1">
      <c r="A390" s="458" t="s">
        <v>3148</v>
      </c>
      <c r="B390" s="33" t="s">
        <v>429</v>
      </c>
      <c r="C390" s="250" t="s">
        <v>170</v>
      </c>
      <c r="D390" s="232"/>
      <c r="E390" s="58"/>
      <c r="F390" s="265" t="s">
        <v>3149</v>
      </c>
      <c r="G390" s="32"/>
      <c r="H390" s="48" t="s">
        <v>3150</v>
      </c>
      <c r="I390" s="185" t="s">
        <v>3151</v>
      </c>
      <c r="J390" s="82" t="s">
        <v>3152</v>
      </c>
      <c r="K390" s="82"/>
      <c r="L390" s="22"/>
      <c r="M390" s="209" t="s">
        <v>3153</v>
      </c>
      <c r="N390" s="54" t="s">
        <v>3154</v>
      </c>
      <c r="O390" s="394"/>
      <c r="P390" s="112"/>
      <c r="Q390" s="56"/>
      <c r="R390" s="295" t="s">
        <v>634</v>
      </c>
      <c r="S390" s="77" t="s">
        <v>41</v>
      </c>
      <c r="T390" s="21"/>
      <c r="U390" s="28"/>
      <c r="V390" s="28"/>
      <c r="W390" s="29" t="s">
        <v>3133</v>
      </c>
      <c r="X390" s="29" t="s">
        <v>3134</v>
      </c>
      <c r="Y390" s="30" t="s">
        <v>3155</v>
      </c>
      <c r="Z390" s="30"/>
      <c r="AA390" s="30"/>
      <c r="AB390" s="41"/>
      <c r="AC390" s="32"/>
      <c r="AD390" s="21"/>
      <c r="AE390" s="32"/>
      <c r="AF390" s="32"/>
      <c r="AG390" s="32"/>
      <c r="AH390" s="32"/>
      <c r="AI390" s="32"/>
      <c r="AJ390" s="32"/>
      <c r="AK390" s="32"/>
      <c r="AL390" s="32"/>
      <c r="AM390" s="32"/>
      <c r="AN390" s="32"/>
      <c r="AO390" s="32"/>
      <c r="AP390" s="32"/>
      <c r="AQ390" s="32"/>
    </row>
    <row r="391" spans="1:43" ht="15.75" customHeight="1">
      <c r="A391" s="458" t="s">
        <v>3156</v>
      </c>
      <c r="B391" s="33" t="s">
        <v>429</v>
      </c>
      <c r="C391" s="250" t="s">
        <v>170</v>
      </c>
      <c r="D391" s="232"/>
      <c r="E391" s="58"/>
      <c r="F391" s="16" t="s">
        <v>3157</v>
      </c>
      <c r="G391" s="32"/>
      <c r="H391" s="190" t="s">
        <v>3158</v>
      </c>
      <c r="I391" s="32" t="s">
        <v>2533</v>
      </c>
      <c r="J391" s="98"/>
      <c r="K391" s="163"/>
      <c r="L391" s="193" t="s">
        <v>3159</v>
      </c>
      <c r="M391" s="135" t="s">
        <v>3160</v>
      </c>
      <c r="N391" s="134" t="s">
        <v>3161</v>
      </c>
      <c r="O391" s="134"/>
      <c r="P391" s="74" t="s">
        <v>3162</v>
      </c>
      <c r="Q391" s="56" t="s">
        <v>3163</v>
      </c>
      <c r="R391" s="305" t="s">
        <v>40</v>
      </c>
      <c r="S391" s="77" t="s">
        <v>41</v>
      </c>
      <c r="T391" s="21" t="s">
        <v>2506</v>
      </c>
      <c r="U391" s="28" t="s">
        <v>2615</v>
      </c>
      <c r="V391" s="28" t="s">
        <v>2616</v>
      </c>
      <c r="W391" s="29" t="s">
        <v>3133</v>
      </c>
      <c r="X391" s="29" t="s">
        <v>3134</v>
      </c>
      <c r="Y391" s="30" t="s">
        <v>3164</v>
      </c>
      <c r="Z391" s="30"/>
      <c r="AA391" s="30"/>
      <c r="AB391" s="41"/>
      <c r="AC391" s="32" t="s">
        <v>3165</v>
      </c>
      <c r="AD391" s="21"/>
      <c r="AE391" s="32"/>
      <c r="AF391" s="32"/>
      <c r="AG391" s="32"/>
      <c r="AH391" s="32"/>
      <c r="AI391" s="32"/>
      <c r="AJ391" s="32"/>
      <c r="AK391" s="32"/>
      <c r="AL391" s="32"/>
      <c r="AM391" s="32"/>
      <c r="AN391" s="32"/>
      <c r="AO391" s="32"/>
      <c r="AP391" s="32"/>
      <c r="AQ391" s="32"/>
    </row>
    <row r="392" spans="1:43" ht="15.75" customHeight="1">
      <c r="A392" s="458" t="s">
        <v>3166</v>
      </c>
      <c r="B392" s="33" t="s">
        <v>429</v>
      </c>
      <c r="C392" s="247" t="s">
        <v>170</v>
      </c>
      <c r="D392" s="232"/>
      <c r="E392" s="58"/>
      <c r="F392" s="265" t="s">
        <v>3167</v>
      </c>
      <c r="G392" s="32"/>
      <c r="H392" s="203" t="s">
        <v>3168</v>
      </c>
      <c r="I392" s="190" t="s">
        <v>2493</v>
      </c>
      <c r="J392" s="98"/>
      <c r="K392" s="82"/>
      <c r="L392" s="82"/>
      <c r="M392" s="135" t="s">
        <v>878</v>
      </c>
      <c r="N392" s="54" t="s">
        <v>3169</v>
      </c>
      <c r="O392" s="54"/>
      <c r="P392" s="55"/>
      <c r="Q392" s="56"/>
      <c r="R392" s="96" t="s">
        <v>537</v>
      </c>
      <c r="S392" s="77" t="s">
        <v>41</v>
      </c>
      <c r="T392" s="21"/>
      <c r="U392" s="28"/>
      <c r="V392" s="28"/>
      <c r="W392" s="29" t="s">
        <v>3133</v>
      </c>
      <c r="X392" s="29" t="s">
        <v>3134</v>
      </c>
      <c r="Y392" s="30" t="s">
        <v>3170</v>
      </c>
      <c r="Z392" s="30" t="s">
        <v>3171</v>
      </c>
      <c r="AA392" s="30" t="s">
        <v>3172</v>
      </c>
      <c r="AB392" s="41"/>
      <c r="AC392" s="32"/>
      <c r="AD392" s="21"/>
      <c r="AE392" s="32"/>
      <c r="AF392" s="32"/>
      <c r="AG392" s="32"/>
      <c r="AH392" s="32"/>
      <c r="AI392" s="32"/>
      <c r="AJ392" s="32"/>
      <c r="AK392" s="32"/>
      <c r="AL392" s="32"/>
      <c r="AM392" s="32"/>
      <c r="AN392" s="32"/>
      <c r="AO392" s="32"/>
      <c r="AP392" s="32"/>
      <c r="AQ392" s="32"/>
    </row>
    <row r="393" spans="1:43" ht="15.75" customHeight="1">
      <c r="A393" s="462" t="s">
        <v>3173</v>
      </c>
      <c r="B393" s="357" t="s">
        <v>429</v>
      </c>
      <c r="C393" s="252" t="s">
        <v>170</v>
      </c>
      <c r="D393" s="308"/>
      <c r="E393" s="136"/>
      <c r="F393" s="369" t="s">
        <v>3174</v>
      </c>
      <c r="G393" s="32"/>
      <c r="H393" s="375" t="s">
        <v>3175</v>
      </c>
      <c r="I393" s="39" t="s">
        <v>2493</v>
      </c>
      <c r="J393" s="82"/>
      <c r="K393" s="82"/>
      <c r="L393" s="82" t="s">
        <v>3152</v>
      </c>
      <c r="M393" s="135" t="s">
        <v>535</v>
      </c>
      <c r="N393" s="394" t="s">
        <v>3176</v>
      </c>
      <c r="O393" s="394"/>
      <c r="P393" s="112"/>
      <c r="Q393" s="121"/>
      <c r="R393" s="96" t="s">
        <v>537</v>
      </c>
      <c r="S393" s="295" t="s">
        <v>41</v>
      </c>
      <c r="T393" s="104" t="s">
        <v>3177</v>
      </c>
      <c r="U393" s="411"/>
      <c r="V393" s="411"/>
      <c r="W393" s="29" t="s">
        <v>2223</v>
      </c>
      <c r="X393" s="29" t="s">
        <v>2224</v>
      </c>
      <c r="Y393" s="102" t="s">
        <v>3178</v>
      </c>
      <c r="Z393" s="102"/>
      <c r="AA393" s="102" t="s">
        <v>3179</v>
      </c>
      <c r="AB393" s="424"/>
      <c r="AC393" s="39"/>
      <c r="AD393" s="104"/>
      <c r="AE393" s="39"/>
      <c r="AF393" s="39"/>
      <c r="AG393" s="39"/>
      <c r="AH393" s="39"/>
      <c r="AI393" s="39"/>
      <c r="AJ393" s="39"/>
      <c r="AK393" s="39"/>
      <c r="AL393" s="39"/>
      <c r="AM393" s="39"/>
      <c r="AN393" s="39"/>
      <c r="AO393" s="39"/>
      <c r="AP393" s="39"/>
      <c r="AQ393" s="39"/>
    </row>
    <row r="394" spans="1:43" ht="15.75" customHeight="1">
      <c r="A394" s="458" t="s">
        <v>3180</v>
      </c>
      <c r="B394" s="33" t="s">
        <v>429</v>
      </c>
      <c r="C394" s="247" t="s">
        <v>170</v>
      </c>
      <c r="D394" s="232"/>
      <c r="E394" s="58"/>
      <c r="F394" s="47" t="s">
        <v>3181</v>
      </c>
      <c r="G394" s="32"/>
      <c r="H394" s="203" t="s">
        <v>3175</v>
      </c>
      <c r="I394" s="32" t="s">
        <v>2493</v>
      </c>
      <c r="J394" s="22" t="s">
        <v>3152</v>
      </c>
      <c r="K394" s="22"/>
      <c r="L394" s="22"/>
      <c r="M394" s="135" t="s">
        <v>535</v>
      </c>
      <c r="N394" s="54" t="s">
        <v>3182</v>
      </c>
      <c r="O394" s="54"/>
      <c r="P394" s="55"/>
      <c r="Q394" s="56"/>
      <c r="R394" s="115" t="s">
        <v>537</v>
      </c>
      <c r="S394" s="77" t="s">
        <v>41</v>
      </c>
      <c r="T394" s="21" t="s">
        <v>3183</v>
      </c>
      <c r="U394" s="28"/>
      <c r="V394" s="28"/>
      <c r="W394" s="72" t="s">
        <v>3133</v>
      </c>
      <c r="X394" s="72" t="s">
        <v>3134</v>
      </c>
      <c r="Y394" s="195" t="s">
        <v>3184</v>
      </c>
      <c r="Z394" s="195"/>
      <c r="AA394" s="30" t="s">
        <v>3185</v>
      </c>
      <c r="AB394" s="41"/>
      <c r="AC394" s="32"/>
      <c r="AD394" s="21"/>
      <c r="AE394" s="32"/>
      <c r="AF394" s="32"/>
      <c r="AG394" s="32"/>
      <c r="AH394" s="32"/>
      <c r="AI394" s="32"/>
      <c r="AJ394" s="32"/>
      <c r="AK394" s="32"/>
      <c r="AL394" s="32"/>
      <c r="AM394" s="32"/>
      <c r="AN394" s="32"/>
      <c r="AO394" s="32"/>
      <c r="AP394" s="32"/>
      <c r="AQ394" s="32"/>
    </row>
    <row r="395" spans="1:43" ht="15.75" customHeight="1">
      <c r="A395" s="458" t="s">
        <v>3186</v>
      </c>
      <c r="B395" s="33" t="s">
        <v>429</v>
      </c>
      <c r="C395" s="247" t="s">
        <v>170</v>
      </c>
      <c r="D395" s="242"/>
      <c r="E395" s="52"/>
      <c r="F395" s="16" t="s">
        <v>3187</v>
      </c>
      <c r="G395" s="48" t="s">
        <v>3188</v>
      </c>
      <c r="H395" s="48" t="s">
        <v>3189</v>
      </c>
      <c r="I395" s="185" t="s">
        <v>2493</v>
      </c>
      <c r="J395" s="82"/>
      <c r="K395" s="82" t="s">
        <v>3190</v>
      </c>
      <c r="L395" s="82" t="s">
        <v>3191</v>
      </c>
      <c r="M395" s="95" t="s">
        <v>3934</v>
      </c>
      <c r="N395" s="54" t="s">
        <v>3192</v>
      </c>
      <c r="O395" s="54"/>
      <c r="P395" s="55"/>
      <c r="Q395" s="56"/>
      <c r="R395" s="115" t="s">
        <v>382</v>
      </c>
      <c r="S395" s="135" t="s">
        <v>41</v>
      </c>
      <c r="T395" s="21"/>
      <c r="U395" s="28"/>
      <c r="V395" s="28"/>
      <c r="W395" s="110"/>
      <c r="X395" s="110"/>
      <c r="Y395" s="30"/>
      <c r="Z395" s="30"/>
      <c r="AA395" s="30"/>
      <c r="AB395" s="41"/>
      <c r="AC395" s="32"/>
      <c r="AD395" s="21"/>
      <c r="AE395" s="32"/>
      <c r="AF395" s="32"/>
      <c r="AG395" s="32"/>
      <c r="AH395" s="32"/>
      <c r="AI395" s="32"/>
      <c r="AJ395" s="32"/>
      <c r="AK395" s="32"/>
      <c r="AL395" s="32"/>
      <c r="AM395" s="32"/>
      <c r="AN395" s="32"/>
      <c r="AO395" s="32"/>
      <c r="AP395" s="32"/>
      <c r="AQ395" s="32"/>
    </row>
    <row r="396" spans="1:43" ht="15.75" customHeight="1">
      <c r="A396" s="458" t="s">
        <v>3193</v>
      </c>
      <c r="B396" s="33" t="s">
        <v>429</v>
      </c>
      <c r="C396" s="248" t="s">
        <v>3193</v>
      </c>
      <c r="D396" s="232"/>
      <c r="E396" s="58"/>
      <c r="F396" s="16" t="s">
        <v>3194</v>
      </c>
      <c r="G396" s="32"/>
      <c r="H396" s="203" t="s">
        <v>3175</v>
      </c>
      <c r="I396" s="190" t="s">
        <v>2493</v>
      </c>
      <c r="J396" s="35"/>
      <c r="K396" s="22" t="s">
        <v>3195</v>
      </c>
      <c r="L396" s="22" t="s">
        <v>3152</v>
      </c>
      <c r="M396" s="135" t="s">
        <v>3196</v>
      </c>
      <c r="N396" s="54" t="s">
        <v>3197</v>
      </c>
      <c r="O396" s="54"/>
      <c r="P396" s="55"/>
      <c r="Q396" s="56"/>
      <c r="R396" s="115" t="s">
        <v>537</v>
      </c>
      <c r="S396" s="77" t="s">
        <v>41</v>
      </c>
      <c r="T396" s="21"/>
      <c r="U396" s="28"/>
      <c r="V396" s="28"/>
      <c r="W396" s="29" t="s">
        <v>3133</v>
      </c>
      <c r="X396" s="29" t="s">
        <v>3134</v>
      </c>
      <c r="Y396" s="168" t="s">
        <v>3198</v>
      </c>
      <c r="Z396" s="102"/>
      <c r="AA396" s="30" t="s">
        <v>3199</v>
      </c>
      <c r="AB396" s="46" t="s">
        <v>3200</v>
      </c>
      <c r="AC396" s="32"/>
      <c r="AD396" s="21"/>
      <c r="AE396" s="32"/>
      <c r="AF396" s="32"/>
      <c r="AG396" s="32"/>
      <c r="AH396" s="32"/>
      <c r="AI396" s="32"/>
      <c r="AJ396" s="32"/>
      <c r="AK396" s="32"/>
      <c r="AL396" s="32"/>
      <c r="AM396" s="32"/>
      <c r="AN396" s="32"/>
      <c r="AO396" s="32"/>
      <c r="AP396" s="32"/>
      <c r="AQ396" s="32"/>
    </row>
    <row r="397" spans="1:43" ht="41.25" customHeight="1">
      <c r="A397" s="458" t="s">
        <v>3201</v>
      </c>
      <c r="B397" s="33" t="s">
        <v>429</v>
      </c>
      <c r="C397" s="247" t="s">
        <v>170</v>
      </c>
      <c r="D397" s="232"/>
      <c r="E397" s="58"/>
      <c r="F397" s="265" t="s">
        <v>3202</v>
      </c>
      <c r="G397" s="32"/>
      <c r="H397" s="203" t="s">
        <v>3203</v>
      </c>
      <c r="I397" s="190" t="s">
        <v>2493</v>
      </c>
      <c r="J397" s="68" t="s">
        <v>3204</v>
      </c>
      <c r="K397" s="107"/>
      <c r="L397" s="107"/>
      <c r="M397" s="135" t="s">
        <v>3076</v>
      </c>
      <c r="N397" s="54" t="s">
        <v>3205</v>
      </c>
      <c r="O397" s="54"/>
      <c r="P397" s="55"/>
      <c r="Q397" s="56"/>
      <c r="R397" s="115" t="s">
        <v>537</v>
      </c>
      <c r="S397" s="77" t="s">
        <v>41</v>
      </c>
      <c r="T397" s="21"/>
      <c r="U397" s="28"/>
      <c r="V397" s="28"/>
      <c r="W397" s="29" t="s">
        <v>3206</v>
      </c>
      <c r="X397" s="29" t="s">
        <v>3207</v>
      </c>
      <c r="Y397" s="195" t="s">
        <v>3208</v>
      </c>
      <c r="Z397" s="197"/>
      <c r="AA397" s="195" t="s">
        <v>3209</v>
      </c>
      <c r="AB397" s="46" t="s">
        <v>3210</v>
      </c>
      <c r="AC397" s="47" t="s">
        <v>3211</v>
      </c>
      <c r="AD397" s="21" t="s">
        <v>3212</v>
      </c>
      <c r="AE397" s="32"/>
      <c r="AF397" s="32"/>
      <c r="AG397" s="32"/>
      <c r="AH397" s="32"/>
      <c r="AI397" s="32"/>
      <c r="AJ397" s="32"/>
      <c r="AK397" s="32"/>
      <c r="AL397" s="32"/>
      <c r="AM397" s="32"/>
      <c r="AN397" s="32"/>
      <c r="AO397" s="32"/>
      <c r="AP397" s="32"/>
      <c r="AQ397" s="32"/>
    </row>
    <row r="398" spans="1:43" ht="15.75" customHeight="1">
      <c r="A398" s="458" t="s">
        <v>3801</v>
      </c>
      <c r="B398" s="33" t="s">
        <v>429</v>
      </c>
      <c r="C398" s="247" t="s">
        <v>170</v>
      </c>
      <c r="D398" s="232"/>
      <c r="E398" s="58"/>
      <c r="F398" s="265" t="s">
        <v>3213</v>
      </c>
      <c r="G398" s="32"/>
      <c r="H398" s="266" t="s">
        <v>3800</v>
      </c>
      <c r="I398" s="190" t="s">
        <v>2493</v>
      </c>
      <c r="J398" s="22"/>
      <c r="K398" s="22"/>
      <c r="L398" s="22"/>
      <c r="M398" s="135" t="s">
        <v>2947</v>
      </c>
      <c r="N398" s="54" t="s">
        <v>3214</v>
      </c>
      <c r="O398" s="54"/>
      <c r="P398" s="213"/>
      <c r="Q398" s="56"/>
      <c r="R398" s="115" t="s">
        <v>382</v>
      </c>
      <c r="S398" s="77" t="s">
        <v>41</v>
      </c>
      <c r="T398" s="21"/>
      <c r="U398" s="28"/>
      <c r="V398" s="28"/>
      <c r="W398" s="29"/>
      <c r="X398" s="29"/>
      <c r="Y398" s="30"/>
      <c r="Z398" s="30"/>
      <c r="AA398" s="30"/>
      <c r="AB398" s="41"/>
      <c r="AC398" s="32"/>
      <c r="AD398" s="21"/>
      <c r="AE398" s="32"/>
      <c r="AF398" s="32"/>
      <c r="AG398" s="32"/>
      <c r="AH398" s="32"/>
      <c r="AI398" s="32"/>
      <c r="AJ398" s="32"/>
      <c r="AK398" s="32"/>
      <c r="AL398" s="32"/>
      <c r="AM398" s="32"/>
      <c r="AN398" s="32"/>
      <c r="AO398" s="32"/>
      <c r="AP398" s="32"/>
      <c r="AQ398" s="32"/>
    </row>
    <row r="399" spans="1:43" ht="15.75" customHeight="1">
      <c r="A399" s="458" t="s">
        <v>3215</v>
      </c>
      <c r="B399" s="33" t="s">
        <v>429</v>
      </c>
      <c r="C399" s="247" t="s">
        <v>170</v>
      </c>
      <c r="D399" s="232"/>
      <c r="E399" s="58"/>
      <c r="F399" s="265" t="s">
        <v>3216</v>
      </c>
      <c r="G399" s="32" t="s">
        <v>3217</v>
      </c>
      <c r="H399" s="203" t="s">
        <v>3218</v>
      </c>
      <c r="I399" s="32" t="s">
        <v>3219</v>
      </c>
      <c r="J399" s="22"/>
      <c r="K399" s="22"/>
      <c r="L399" s="22"/>
      <c r="M399" s="209" t="s">
        <v>3220</v>
      </c>
      <c r="N399" s="38" t="s">
        <v>3221</v>
      </c>
      <c r="O399" s="38"/>
      <c r="P399" s="124"/>
      <c r="Q399" s="133"/>
      <c r="R399" s="115" t="s">
        <v>382</v>
      </c>
      <c r="S399" s="77" t="s">
        <v>41</v>
      </c>
      <c r="T399" s="21"/>
      <c r="U399" s="28"/>
      <c r="V399" s="28"/>
      <c r="W399" s="29"/>
      <c r="X399" s="29"/>
      <c r="Y399" s="30"/>
      <c r="Z399" s="30"/>
      <c r="AA399" s="30"/>
      <c r="AB399" s="41"/>
      <c r="AC399" s="32"/>
      <c r="AD399" s="21"/>
      <c r="AE399" s="32"/>
      <c r="AF399" s="32"/>
      <c r="AG399" s="32"/>
      <c r="AH399" s="32"/>
      <c r="AI399" s="32"/>
      <c r="AJ399" s="32"/>
      <c r="AK399" s="32"/>
      <c r="AL399" s="32"/>
      <c r="AM399" s="32"/>
      <c r="AN399" s="32"/>
      <c r="AO399" s="32"/>
      <c r="AP399" s="32"/>
      <c r="AQ399" s="32"/>
    </row>
    <row r="400" spans="1:43" ht="15.75" customHeight="1">
      <c r="A400" s="458" t="s">
        <v>3802</v>
      </c>
      <c r="B400" s="33" t="s">
        <v>429</v>
      </c>
      <c r="C400" s="247" t="s">
        <v>170</v>
      </c>
      <c r="D400" s="232"/>
      <c r="E400" s="58"/>
      <c r="F400" s="265" t="s">
        <v>3222</v>
      </c>
      <c r="G400" s="32"/>
      <c r="H400" s="203" t="s">
        <v>3223</v>
      </c>
      <c r="I400" s="190" t="s">
        <v>2493</v>
      </c>
      <c r="J400" s="22"/>
      <c r="K400" s="35" t="s">
        <v>3224</v>
      </c>
      <c r="L400" s="35"/>
      <c r="M400" s="135" t="s">
        <v>3225</v>
      </c>
      <c r="N400" s="134" t="s">
        <v>3226</v>
      </c>
      <c r="O400" s="54" t="s">
        <v>38</v>
      </c>
      <c r="P400" s="55"/>
      <c r="Q400" s="56" t="s">
        <v>3227</v>
      </c>
      <c r="R400" s="32" t="s">
        <v>537</v>
      </c>
      <c r="S400" s="77" t="s">
        <v>41</v>
      </c>
      <c r="T400" s="21"/>
      <c r="U400" s="28"/>
      <c r="V400" s="28"/>
      <c r="W400" s="29" t="s">
        <v>3133</v>
      </c>
      <c r="X400" s="29" t="s">
        <v>3134</v>
      </c>
      <c r="Y400" s="30" t="s">
        <v>3228</v>
      </c>
      <c r="Z400" s="30"/>
      <c r="AA400" s="30"/>
      <c r="AB400" s="31" t="s">
        <v>3229</v>
      </c>
      <c r="AC400" s="32"/>
      <c r="AD400" s="21"/>
      <c r="AE400" s="32"/>
      <c r="AF400" s="32"/>
      <c r="AG400" s="32"/>
      <c r="AH400" s="32"/>
      <c r="AI400" s="32"/>
      <c r="AJ400" s="32"/>
      <c r="AK400" s="32"/>
      <c r="AL400" s="32"/>
      <c r="AM400" s="32"/>
      <c r="AN400" s="32"/>
      <c r="AO400" s="32"/>
      <c r="AP400" s="32"/>
      <c r="AQ400" s="32"/>
    </row>
    <row r="401" spans="1:43" ht="15.75" customHeight="1">
      <c r="A401" s="458" t="s">
        <v>3230</v>
      </c>
      <c r="B401" s="33" t="s">
        <v>429</v>
      </c>
      <c r="C401" s="247" t="s">
        <v>170</v>
      </c>
      <c r="D401" s="232"/>
      <c r="E401" s="58"/>
      <c r="F401" s="16" t="s">
        <v>3231</v>
      </c>
      <c r="G401" s="32"/>
      <c r="H401" s="190" t="s">
        <v>3232</v>
      </c>
      <c r="I401" s="32" t="s">
        <v>2533</v>
      </c>
      <c r="J401" s="22"/>
      <c r="K401" s="383" t="s">
        <v>34</v>
      </c>
      <c r="L401" s="383"/>
      <c r="M401" s="387" t="s">
        <v>3233</v>
      </c>
      <c r="N401" s="38" t="s">
        <v>3234</v>
      </c>
      <c r="O401" s="38"/>
      <c r="P401" s="289" t="s">
        <v>38</v>
      </c>
      <c r="Q401" s="291" t="s">
        <v>3932</v>
      </c>
      <c r="R401" s="296" t="s">
        <v>79</v>
      </c>
      <c r="S401" s="77" t="s">
        <v>41</v>
      </c>
      <c r="T401" s="21"/>
      <c r="U401" s="28"/>
      <c r="V401" s="28"/>
      <c r="W401" s="29" t="s">
        <v>3235</v>
      </c>
      <c r="X401" s="29" t="s">
        <v>3134</v>
      </c>
      <c r="Y401" s="30" t="s">
        <v>3236</v>
      </c>
      <c r="Z401" s="30"/>
      <c r="AA401" s="30"/>
      <c r="AB401" s="41"/>
      <c r="AC401" s="32"/>
      <c r="AD401" s="21"/>
      <c r="AE401" s="32"/>
      <c r="AF401" s="32"/>
      <c r="AG401" s="32"/>
      <c r="AH401" s="32"/>
      <c r="AI401" s="32"/>
      <c r="AJ401" s="32"/>
      <c r="AK401" s="32"/>
      <c r="AL401" s="32"/>
      <c r="AM401" s="32"/>
      <c r="AN401" s="32"/>
      <c r="AO401" s="32"/>
      <c r="AP401" s="32"/>
      <c r="AQ401" s="32"/>
    </row>
    <row r="402" spans="1:43" ht="15.75" customHeight="1">
      <c r="A402" s="458" t="s">
        <v>3237</v>
      </c>
      <c r="B402" s="48" t="s">
        <v>3238</v>
      </c>
      <c r="C402" s="247" t="s">
        <v>170</v>
      </c>
      <c r="D402" s="232"/>
      <c r="E402" s="58"/>
      <c r="F402" s="265" t="s">
        <v>3239</v>
      </c>
      <c r="G402" s="48" t="s">
        <v>3240</v>
      </c>
      <c r="H402" s="203" t="s">
        <v>3241</v>
      </c>
      <c r="I402" s="32" t="s">
        <v>2533</v>
      </c>
      <c r="J402" s="22" t="s">
        <v>3242</v>
      </c>
      <c r="K402" s="22"/>
      <c r="L402" s="22"/>
      <c r="M402" s="309" t="s">
        <v>136</v>
      </c>
      <c r="N402" s="54" t="s">
        <v>3243</v>
      </c>
      <c r="O402" s="54"/>
      <c r="P402" s="55"/>
      <c r="Q402" s="56"/>
      <c r="R402" s="295" t="s">
        <v>138</v>
      </c>
      <c r="S402" s="77" t="s">
        <v>41</v>
      </c>
      <c r="T402" s="21"/>
      <c r="U402" s="28"/>
      <c r="V402" s="28"/>
      <c r="W402" s="29" t="s">
        <v>3133</v>
      </c>
      <c r="X402" s="29" t="s">
        <v>3134</v>
      </c>
      <c r="Y402" s="30" t="s">
        <v>3236</v>
      </c>
      <c r="Z402" s="30"/>
      <c r="AA402" s="30"/>
      <c r="AB402" s="46" t="s">
        <v>3244</v>
      </c>
      <c r="AC402" s="32"/>
      <c r="AD402" s="21"/>
      <c r="AE402" s="32"/>
      <c r="AF402" s="32"/>
      <c r="AG402" s="32"/>
      <c r="AH402" s="32"/>
      <c r="AI402" s="32"/>
      <c r="AJ402" s="32"/>
      <c r="AK402" s="32"/>
      <c r="AL402" s="32"/>
      <c r="AM402" s="32"/>
      <c r="AN402" s="32"/>
      <c r="AO402" s="32"/>
      <c r="AP402" s="32"/>
      <c r="AQ402" s="32"/>
    </row>
    <row r="403" spans="1:43" ht="15.75" customHeight="1">
      <c r="A403" s="458" t="s">
        <v>3803</v>
      </c>
      <c r="B403" s="33" t="s">
        <v>429</v>
      </c>
      <c r="C403" s="247" t="s">
        <v>170</v>
      </c>
      <c r="D403" s="232"/>
      <c r="E403" s="58"/>
      <c r="F403" s="265" t="s">
        <v>3245</v>
      </c>
      <c r="G403" s="32"/>
      <c r="H403" s="48" t="s">
        <v>3246</v>
      </c>
      <c r="I403" s="185" t="s">
        <v>2533</v>
      </c>
      <c r="J403" s="22"/>
      <c r="K403" s="22"/>
      <c r="L403" s="22" t="s">
        <v>3247</v>
      </c>
      <c r="M403" s="387" t="s">
        <v>3248</v>
      </c>
      <c r="N403" s="38" t="s">
        <v>3249</v>
      </c>
      <c r="O403" s="38" t="s">
        <v>3250</v>
      </c>
      <c r="P403" s="25"/>
      <c r="Q403" s="56" t="s">
        <v>3251</v>
      </c>
      <c r="R403" s="39" t="s">
        <v>517</v>
      </c>
      <c r="S403" s="77" t="s">
        <v>41</v>
      </c>
      <c r="T403" s="21"/>
      <c r="U403" s="28"/>
      <c r="V403" s="28"/>
      <c r="W403" s="29" t="s">
        <v>3235</v>
      </c>
      <c r="X403" s="29" t="s">
        <v>3134</v>
      </c>
      <c r="Y403" s="168" t="s">
        <v>3252</v>
      </c>
      <c r="Z403" s="102" t="s">
        <v>3253</v>
      </c>
      <c r="AA403" s="30" t="s">
        <v>3254</v>
      </c>
      <c r="AB403" s="41"/>
      <c r="AC403" s="32"/>
      <c r="AD403" s="21"/>
      <c r="AE403" s="32"/>
      <c r="AF403" s="32"/>
      <c r="AG403" s="32"/>
      <c r="AH403" s="32"/>
      <c r="AI403" s="32"/>
      <c r="AJ403" s="32"/>
      <c r="AK403" s="32"/>
      <c r="AL403" s="32"/>
      <c r="AM403" s="32"/>
      <c r="AN403" s="32"/>
      <c r="AO403" s="32"/>
      <c r="AP403" s="32"/>
      <c r="AQ403" s="32"/>
    </row>
    <row r="404" spans="1:43" ht="15.75" customHeight="1">
      <c r="A404" s="458" t="s">
        <v>3255</v>
      </c>
      <c r="B404" s="33" t="s">
        <v>429</v>
      </c>
      <c r="C404" s="247" t="s">
        <v>170</v>
      </c>
      <c r="D404" s="232"/>
      <c r="E404" s="58"/>
      <c r="F404" s="47" t="s">
        <v>3256</v>
      </c>
      <c r="G404" s="32"/>
      <c r="H404" s="203" t="s">
        <v>3257</v>
      </c>
      <c r="I404" s="190" t="s">
        <v>2493</v>
      </c>
      <c r="J404" s="22" t="s">
        <v>3258</v>
      </c>
      <c r="K404" s="22"/>
      <c r="L404" s="22" t="s">
        <v>3259</v>
      </c>
      <c r="M404" s="303" t="s">
        <v>593</v>
      </c>
      <c r="N404" s="38" t="s">
        <v>3260</v>
      </c>
      <c r="O404" s="38"/>
      <c r="P404" s="25"/>
      <c r="Q404" s="56"/>
      <c r="R404" s="94" t="s">
        <v>537</v>
      </c>
      <c r="S404" s="77" t="s">
        <v>41</v>
      </c>
      <c r="T404" s="21"/>
      <c r="U404" s="28"/>
      <c r="V404" s="28"/>
      <c r="W404" s="29" t="s">
        <v>3133</v>
      </c>
      <c r="X404" s="72" t="s">
        <v>3134</v>
      </c>
      <c r="Y404" s="195" t="s">
        <v>3261</v>
      </c>
      <c r="Z404" s="418"/>
      <c r="AA404" s="195" t="s">
        <v>3262</v>
      </c>
      <c r="AB404" s="31" t="s">
        <v>3263</v>
      </c>
      <c r="AC404" s="47" t="s">
        <v>3264</v>
      </c>
      <c r="AD404" s="21"/>
      <c r="AE404" s="32"/>
      <c r="AF404" s="32"/>
      <c r="AG404" s="32"/>
      <c r="AH404" s="32"/>
      <c r="AI404" s="32"/>
      <c r="AJ404" s="32"/>
      <c r="AK404" s="32"/>
      <c r="AL404" s="32"/>
      <c r="AM404" s="32"/>
      <c r="AN404" s="32"/>
      <c r="AO404" s="32"/>
      <c r="AP404" s="32"/>
      <c r="AQ404" s="32"/>
    </row>
    <row r="405" spans="1:43" ht="15.75" customHeight="1">
      <c r="A405" s="458" t="s">
        <v>3265</v>
      </c>
      <c r="B405" s="33" t="s">
        <v>429</v>
      </c>
      <c r="C405" s="247" t="s">
        <v>170</v>
      </c>
      <c r="D405" s="232"/>
      <c r="E405" s="58"/>
      <c r="F405" s="16" t="s">
        <v>3266</v>
      </c>
      <c r="G405" s="32"/>
      <c r="H405" s="203" t="s">
        <v>3267</v>
      </c>
      <c r="I405" s="190" t="s">
        <v>2493</v>
      </c>
      <c r="J405" s="82"/>
      <c r="K405" s="82"/>
      <c r="L405" s="82"/>
      <c r="M405" s="303" t="s">
        <v>1277</v>
      </c>
      <c r="N405" s="38" t="s">
        <v>3268</v>
      </c>
      <c r="O405" s="38"/>
      <c r="P405" s="25" t="s">
        <v>38</v>
      </c>
      <c r="Q405" s="56" t="s">
        <v>1160</v>
      </c>
      <c r="R405" s="96" t="s">
        <v>537</v>
      </c>
      <c r="S405" s="77" t="s">
        <v>41</v>
      </c>
      <c r="T405" s="21"/>
      <c r="U405" s="28"/>
      <c r="V405" s="28"/>
      <c r="W405" s="29" t="s">
        <v>3133</v>
      </c>
      <c r="X405" s="29" t="s">
        <v>3134</v>
      </c>
      <c r="Y405" s="195" t="s">
        <v>3269</v>
      </c>
      <c r="Z405" s="418"/>
      <c r="AA405" s="195" t="s">
        <v>3270</v>
      </c>
      <c r="AB405" s="46" t="s">
        <v>3271</v>
      </c>
      <c r="AC405" s="47" t="s">
        <v>3264</v>
      </c>
      <c r="AD405" s="21"/>
      <c r="AE405" s="32"/>
      <c r="AF405" s="32"/>
      <c r="AG405" s="32"/>
      <c r="AH405" s="32"/>
      <c r="AI405" s="32"/>
      <c r="AJ405" s="32"/>
      <c r="AK405" s="32"/>
      <c r="AL405" s="32"/>
      <c r="AM405" s="32"/>
      <c r="AN405" s="32"/>
      <c r="AO405" s="32"/>
      <c r="AP405" s="32"/>
      <c r="AQ405" s="32"/>
    </row>
    <row r="406" spans="1:43" ht="15.75" customHeight="1">
      <c r="A406" s="458" t="s">
        <v>3804</v>
      </c>
      <c r="B406" s="14" t="s">
        <v>429</v>
      </c>
      <c r="C406" s="247" t="s">
        <v>170</v>
      </c>
      <c r="D406" s="232"/>
      <c r="E406" s="58"/>
      <c r="F406" s="265" t="s">
        <v>3272</v>
      </c>
      <c r="G406" s="32"/>
      <c r="H406" s="203" t="s">
        <v>3273</v>
      </c>
      <c r="I406" s="190" t="s">
        <v>2493</v>
      </c>
      <c r="J406" s="22"/>
      <c r="K406" s="22"/>
      <c r="L406" s="22"/>
      <c r="M406" s="303" t="s">
        <v>3112</v>
      </c>
      <c r="N406" s="38" t="s">
        <v>3274</v>
      </c>
      <c r="O406" s="65" t="s">
        <v>38</v>
      </c>
      <c r="P406" s="25"/>
      <c r="Q406" s="26" t="s">
        <v>1160</v>
      </c>
      <c r="R406" s="94" t="s">
        <v>3275</v>
      </c>
      <c r="S406" s="77" t="s">
        <v>41</v>
      </c>
      <c r="T406" s="21" t="s">
        <v>3276</v>
      </c>
      <c r="U406" s="28"/>
      <c r="V406" s="28"/>
      <c r="W406" s="29" t="s">
        <v>3133</v>
      </c>
      <c r="X406" s="29" t="s">
        <v>3134</v>
      </c>
      <c r="Y406" s="195" t="s">
        <v>3236</v>
      </c>
      <c r="Z406" s="418"/>
      <c r="AA406" s="195" t="s">
        <v>3277</v>
      </c>
      <c r="AB406" s="46" t="s">
        <v>3278</v>
      </c>
      <c r="AC406" s="32"/>
      <c r="AD406" s="21"/>
      <c r="AE406" s="32"/>
      <c r="AF406" s="32"/>
      <c r="AG406" s="32"/>
      <c r="AH406" s="32"/>
      <c r="AI406" s="32"/>
      <c r="AJ406" s="32"/>
      <c r="AK406" s="32"/>
      <c r="AL406" s="32"/>
      <c r="AM406" s="32"/>
      <c r="AN406" s="32"/>
      <c r="AO406" s="32"/>
      <c r="AP406" s="32"/>
      <c r="AQ406" s="32"/>
    </row>
    <row r="407" spans="1:43" ht="15.75" customHeight="1">
      <c r="A407" s="458" t="s">
        <v>3279</v>
      </c>
      <c r="B407" s="33" t="s">
        <v>429</v>
      </c>
      <c r="C407" s="247" t="s">
        <v>170</v>
      </c>
      <c r="D407" s="232"/>
      <c r="E407" s="58"/>
      <c r="F407" s="265" t="s">
        <v>3280</v>
      </c>
      <c r="G407" s="32"/>
      <c r="H407" s="203" t="s">
        <v>3281</v>
      </c>
      <c r="I407" s="190" t="s">
        <v>2493</v>
      </c>
      <c r="J407" s="22"/>
      <c r="K407" s="22"/>
      <c r="L407" s="22" t="s">
        <v>3030</v>
      </c>
      <c r="M407" s="135" t="s">
        <v>2672</v>
      </c>
      <c r="N407" s="38" t="s">
        <v>3282</v>
      </c>
      <c r="O407" s="294"/>
      <c r="P407" s="124"/>
      <c r="Q407" s="56"/>
      <c r="R407" s="115" t="s">
        <v>537</v>
      </c>
      <c r="S407" s="77" t="s">
        <v>41</v>
      </c>
      <c r="T407" s="21"/>
      <c r="U407" s="28"/>
      <c r="V407" s="28"/>
      <c r="W407" s="29" t="s">
        <v>3133</v>
      </c>
      <c r="X407" s="29" t="s">
        <v>3134</v>
      </c>
      <c r="Y407" s="30" t="s">
        <v>3236</v>
      </c>
      <c r="Z407" s="197"/>
      <c r="AA407" s="30" t="s">
        <v>3283</v>
      </c>
      <c r="AB407" s="46" t="s">
        <v>3284</v>
      </c>
      <c r="AC407" s="32"/>
      <c r="AD407" s="21"/>
      <c r="AE407" s="32"/>
      <c r="AF407" s="32"/>
      <c r="AG407" s="32"/>
      <c r="AH407" s="32"/>
      <c r="AI407" s="32"/>
      <c r="AJ407" s="32"/>
      <c r="AK407" s="32"/>
      <c r="AL407" s="32"/>
      <c r="AM407" s="32"/>
      <c r="AN407" s="32"/>
      <c r="AO407" s="32"/>
      <c r="AP407" s="32"/>
      <c r="AQ407" s="32"/>
    </row>
    <row r="408" spans="1:43" ht="15.75" customHeight="1">
      <c r="A408" s="458" t="s">
        <v>3285</v>
      </c>
      <c r="B408" s="32" t="s">
        <v>3286</v>
      </c>
      <c r="C408" s="247" t="s">
        <v>170</v>
      </c>
      <c r="D408" s="244"/>
      <c r="E408" s="188"/>
      <c r="F408" s="189" t="s">
        <v>3287</v>
      </c>
      <c r="G408" s="32"/>
      <c r="H408" s="32" t="s">
        <v>3288</v>
      </c>
      <c r="I408" s="185" t="s">
        <v>2533</v>
      </c>
      <c r="J408" s="22"/>
      <c r="K408" s="93"/>
      <c r="L408" s="22" t="s">
        <v>3289</v>
      </c>
      <c r="M408" s="95" t="s">
        <v>3290</v>
      </c>
      <c r="N408" s="65" t="s">
        <v>3291</v>
      </c>
      <c r="O408" s="65"/>
      <c r="P408" s="74" t="s">
        <v>3292</v>
      </c>
      <c r="Q408" s="56" t="s">
        <v>3293</v>
      </c>
      <c r="R408" s="101" t="s">
        <v>40</v>
      </c>
      <c r="S408" s="77" t="s">
        <v>41</v>
      </c>
      <c r="T408" s="21"/>
      <c r="U408" s="28"/>
      <c r="V408" s="28"/>
      <c r="W408" s="29"/>
      <c r="X408" s="29"/>
      <c r="Y408" s="30"/>
      <c r="Z408" s="30"/>
      <c r="AA408" s="30"/>
      <c r="AB408" s="41"/>
      <c r="AC408" s="32"/>
      <c r="AD408" s="21"/>
      <c r="AE408" s="32"/>
      <c r="AF408" s="32"/>
      <c r="AG408" s="32"/>
      <c r="AH408" s="32"/>
      <c r="AI408" s="32"/>
      <c r="AJ408" s="32"/>
      <c r="AK408" s="32"/>
      <c r="AL408" s="32"/>
      <c r="AM408" s="32"/>
      <c r="AN408" s="32"/>
      <c r="AO408" s="32"/>
      <c r="AP408" s="32"/>
      <c r="AQ408" s="32"/>
    </row>
    <row r="409" spans="1:43" ht="15.75" customHeight="1">
      <c r="A409" s="458" t="s">
        <v>3775</v>
      </c>
      <c r="B409" s="33" t="s">
        <v>429</v>
      </c>
      <c r="C409" s="248" t="s">
        <v>3775</v>
      </c>
      <c r="D409" s="244"/>
      <c r="E409" s="188"/>
      <c r="F409" s="205" t="s">
        <v>3294</v>
      </c>
      <c r="G409" s="184"/>
      <c r="H409" s="48" t="s">
        <v>3295</v>
      </c>
      <c r="I409" s="185" t="s">
        <v>2533</v>
      </c>
      <c r="J409" s="103" t="s">
        <v>3296</v>
      </c>
      <c r="K409" s="103"/>
      <c r="L409" s="107"/>
      <c r="M409" s="206" t="s">
        <v>3297</v>
      </c>
      <c r="N409" s="38" t="s">
        <v>3298</v>
      </c>
      <c r="O409" s="38"/>
      <c r="P409" s="25"/>
      <c r="Q409" s="56"/>
      <c r="R409" s="113" t="s">
        <v>3299</v>
      </c>
      <c r="S409" s="77" t="s">
        <v>41</v>
      </c>
      <c r="T409" s="21"/>
      <c r="U409" s="28"/>
      <c r="V409" s="28"/>
      <c r="W409" s="29" t="s">
        <v>3133</v>
      </c>
      <c r="X409" s="29" t="s">
        <v>3134</v>
      </c>
      <c r="Y409" s="30" t="s">
        <v>3300</v>
      </c>
      <c r="Z409" s="30"/>
      <c r="AA409" s="30"/>
      <c r="AB409" s="41"/>
      <c r="AC409" s="32"/>
      <c r="AD409" s="21"/>
      <c r="AE409" s="32"/>
      <c r="AF409" s="32"/>
      <c r="AG409" s="32"/>
      <c r="AH409" s="32"/>
      <c r="AI409" s="32"/>
      <c r="AJ409" s="32"/>
      <c r="AK409" s="32"/>
      <c r="AL409" s="32"/>
      <c r="AM409" s="32"/>
      <c r="AN409" s="32"/>
      <c r="AO409" s="32"/>
      <c r="AP409" s="32"/>
      <c r="AQ409" s="32"/>
    </row>
    <row r="410" spans="1:43" ht="15.75" customHeight="1">
      <c r="A410" s="458" t="s">
        <v>3806</v>
      </c>
      <c r="B410" s="33" t="s">
        <v>429</v>
      </c>
      <c r="C410" s="246" t="s">
        <v>3301</v>
      </c>
      <c r="D410" s="232"/>
      <c r="E410" s="58"/>
      <c r="F410" s="47" t="s">
        <v>3302</v>
      </c>
      <c r="G410" s="32"/>
      <c r="H410" s="203" t="s">
        <v>3303</v>
      </c>
      <c r="I410" s="190" t="s">
        <v>2493</v>
      </c>
      <c r="J410" s="35"/>
      <c r="K410" s="22">
        <v>276150</v>
      </c>
      <c r="L410" s="22" t="s">
        <v>3304</v>
      </c>
      <c r="M410" s="135" t="s">
        <v>2205</v>
      </c>
      <c r="N410" s="38" t="s">
        <v>3305</v>
      </c>
      <c r="O410" s="38"/>
      <c r="P410" s="25"/>
      <c r="Q410" s="56"/>
      <c r="R410" s="32" t="s">
        <v>537</v>
      </c>
      <c r="S410" s="77" t="s">
        <v>41</v>
      </c>
      <c r="T410" s="21" t="s">
        <v>3306</v>
      </c>
      <c r="U410" s="28"/>
      <c r="V410" s="28"/>
      <c r="W410" s="29"/>
      <c r="X410" s="29"/>
      <c r="Y410" s="30"/>
      <c r="Z410" s="30" t="s">
        <v>3307</v>
      </c>
      <c r="AA410" s="30" t="s">
        <v>3308</v>
      </c>
      <c r="AB410" s="41"/>
      <c r="AC410" s="32"/>
      <c r="AD410" s="21"/>
      <c r="AE410" s="32"/>
      <c r="AF410" s="32"/>
      <c r="AG410" s="32"/>
      <c r="AH410" s="32"/>
      <c r="AI410" s="32"/>
      <c r="AJ410" s="32"/>
      <c r="AK410" s="32"/>
      <c r="AL410" s="32"/>
      <c r="AM410" s="32"/>
      <c r="AN410" s="32"/>
      <c r="AO410" s="32"/>
      <c r="AP410" s="32"/>
      <c r="AQ410" s="32"/>
    </row>
    <row r="411" spans="1:43" ht="15.75" customHeight="1">
      <c r="A411" s="458" t="s">
        <v>3309</v>
      </c>
      <c r="B411" s="33" t="s">
        <v>429</v>
      </c>
      <c r="C411" s="247" t="s">
        <v>170</v>
      </c>
      <c r="D411" s="232"/>
      <c r="E411" s="58"/>
      <c r="F411" s="47" t="s">
        <v>3310</v>
      </c>
      <c r="G411" s="32"/>
      <c r="H411" s="203" t="s">
        <v>3311</v>
      </c>
      <c r="I411" s="190" t="s">
        <v>2493</v>
      </c>
      <c r="J411" s="22"/>
      <c r="K411" s="22" t="s">
        <v>3312</v>
      </c>
      <c r="L411" s="22" t="s">
        <v>795</v>
      </c>
      <c r="M411" s="135" t="s">
        <v>1093</v>
      </c>
      <c r="N411" s="38" t="s">
        <v>3313</v>
      </c>
      <c r="O411" s="38"/>
      <c r="P411" s="25"/>
      <c r="Q411" s="56"/>
      <c r="R411" s="32" t="s">
        <v>537</v>
      </c>
      <c r="S411" s="77" t="s">
        <v>41</v>
      </c>
      <c r="T411" s="21"/>
      <c r="U411" s="28"/>
      <c r="V411" s="28"/>
      <c r="W411" s="29" t="s">
        <v>3133</v>
      </c>
      <c r="X411" s="29" t="s">
        <v>3134</v>
      </c>
      <c r="Y411" s="30" t="s">
        <v>3314</v>
      </c>
      <c r="Z411" s="30"/>
      <c r="AA411" s="30"/>
      <c r="AB411" s="41"/>
      <c r="AC411" s="32"/>
      <c r="AD411" s="21"/>
      <c r="AE411" s="32"/>
      <c r="AF411" s="32"/>
      <c r="AG411" s="32"/>
      <c r="AH411" s="32"/>
      <c r="AI411" s="32"/>
      <c r="AJ411" s="32"/>
      <c r="AK411" s="32"/>
      <c r="AL411" s="32"/>
      <c r="AM411" s="32"/>
      <c r="AN411" s="32"/>
      <c r="AO411" s="32"/>
      <c r="AP411" s="32"/>
      <c r="AQ411" s="32"/>
    </row>
    <row r="412" spans="1:43" ht="15.75" customHeight="1">
      <c r="A412" s="458" t="s">
        <v>3315</v>
      </c>
      <c r="B412" s="33" t="s">
        <v>429</v>
      </c>
      <c r="C412" s="247" t="s">
        <v>170</v>
      </c>
      <c r="D412" s="232"/>
      <c r="E412" s="58"/>
      <c r="F412" s="47" t="s">
        <v>3316</v>
      </c>
      <c r="G412" s="39"/>
      <c r="H412" s="203" t="s">
        <v>3317</v>
      </c>
      <c r="I412" s="32" t="s">
        <v>3318</v>
      </c>
      <c r="J412" s="107" t="s">
        <v>3319</v>
      </c>
      <c r="K412" s="107"/>
      <c r="L412" s="107"/>
      <c r="M412" s="43" t="s">
        <v>136</v>
      </c>
      <c r="N412" s="38" t="s">
        <v>3320</v>
      </c>
      <c r="O412" s="38"/>
      <c r="P412" s="25"/>
      <c r="Q412" s="56"/>
      <c r="R412" s="148" t="s">
        <v>138</v>
      </c>
      <c r="S412" s="77" t="s">
        <v>41</v>
      </c>
      <c r="T412" s="21"/>
      <c r="U412" s="28"/>
      <c r="V412" s="28"/>
      <c r="W412" s="29" t="s">
        <v>3133</v>
      </c>
      <c r="X412" s="29" t="s">
        <v>3134</v>
      </c>
      <c r="Y412" s="30" t="s">
        <v>3321</v>
      </c>
      <c r="Z412" s="30"/>
      <c r="AA412" s="30"/>
      <c r="AB412" s="41"/>
      <c r="AC412" s="32"/>
      <c r="AD412" s="21"/>
      <c r="AE412" s="32"/>
      <c r="AF412" s="32"/>
      <c r="AG412" s="32"/>
      <c r="AH412" s="32"/>
      <c r="AI412" s="32"/>
      <c r="AJ412" s="32"/>
      <c r="AK412" s="32"/>
      <c r="AL412" s="32"/>
      <c r="AM412" s="32"/>
      <c r="AN412" s="32"/>
      <c r="AO412" s="32"/>
      <c r="AP412" s="32"/>
      <c r="AQ412" s="32"/>
    </row>
    <row r="413" spans="1:43" ht="15.75" customHeight="1">
      <c r="A413" s="458" t="s">
        <v>3322</v>
      </c>
      <c r="B413" s="33" t="s">
        <v>429</v>
      </c>
      <c r="C413" s="247" t="s">
        <v>170</v>
      </c>
      <c r="D413" s="232"/>
      <c r="E413" s="58"/>
      <c r="F413" s="16" t="s">
        <v>3323</v>
      </c>
      <c r="G413" s="32" t="s">
        <v>3324</v>
      </c>
      <c r="H413" s="204" t="s">
        <v>3325</v>
      </c>
      <c r="I413" s="185" t="s">
        <v>3326</v>
      </c>
      <c r="J413" s="107" t="s">
        <v>3319</v>
      </c>
      <c r="K413" s="107"/>
      <c r="L413" s="107"/>
      <c r="M413" s="43" t="s">
        <v>136</v>
      </c>
      <c r="N413" s="38" t="s">
        <v>3327</v>
      </c>
      <c r="O413" s="38"/>
      <c r="P413" s="25"/>
      <c r="Q413" s="56"/>
      <c r="R413" s="148" t="s">
        <v>138</v>
      </c>
      <c r="S413" s="135" t="s">
        <v>41</v>
      </c>
      <c r="T413" s="21"/>
      <c r="U413" s="28"/>
      <c r="V413" s="28"/>
      <c r="W413" s="29" t="s">
        <v>3133</v>
      </c>
      <c r="X413" s="29" t="s">
        <v>3134</v>
      </c>
      <c r="Y413" s="30" t="s">
        <v>3236</v>
      </c>
      <c r="Z413" s="30"/>
      <c r="AA413" s="30"/>
      <c r="AB413" s="46" t="s">
        <v>3328</v>
      </c>
      <c r="AC413" s="32"/>
      <c r="AD413" s="21"/>
      <c r="AE413" s="32"/>
      <c r="AF413" s="32"/>
      <c r="AG413" s="32"/>
      <c r="AH413" s="32"/>
      <c r="AI413" s="32"/>
      <c r="AJ413" s="32"/>
      <c r="AK413" s="32"/>
      <c r="AL413" s="32"/>
      <c r="AM413" s="32"/>
      <c r="AN413" s="32"/>
      <c r="AO413" s="32"/>
      <c r="AP413" s="32"/>
      <c r="AQ413" s="32"/>
    </row>
    <row r="414" spans="1:43" ht="15.75" customHeight="1">
      <c r="A414" s="458" t="s">
        <v>3329</v>
      </c>
      <c r="B414" s="95" t="s">
        <v>2270</v>
      </c>
      <c r="C414" s="252" t="s">
        <v>170</v>
      </c>
      <c r="D414" s="232"/>
      <c r="E414" s="58"/>
      <c r="F414" s="47" t="s">
        <v>3330</v>
      </c>
      <c r="G414" s="32" t="s">
        <v>3331</v>
      </c>
      <c r="H414" s="204" t="s">
        <v>3332</v>
      </c>
      <c r="I414" s="185" t="s">
        <v>3333</v>
      </c>
      <c r="J414" s="22" t="s">
        <v>3334</v>
      </c>
      <c r="K414" s="22"/>
      <c r="L414" s="22"/>
      <c r="M414" s="309" t="s">
        <v>136</v>
      </c>
      <c r="N414" s="38" t="s">
        <v>3335</v>
      </c>
      <c r="O414" s="38"/>
      <c r="P414" s="25"/>
      <c r="Q414" s="56"/>
      <c r="R414" s="142" t="s">
        <v>138</v>
      </c>
      <c r="S414" s="77" t="s">
        <v>41</v>
      </c>
      <c r="T414" s="21"/>
      <c r="U414" s="28"/>
      <c r="V414" s="28"/>
      <c r="W414" s="29" t="s">
        <v>3133</v>
      </c>
      <c r="X414" s="29" t="s">
        <v>3134</v>
      </c>
      <c r="Y414" s="30" t="s">
        <v>3236</v>
      </c>
      <c r="Z414" s="30"/>
      <c r="AA414" s="30"/>
      <c r="AB414" s="41"/>
      <c r="AC414" s="32"/>
      <c r="AD414" s="21"/>
      <c r="AE414" s="32"/>
      <c r="AF414" s="32"/>
      <c r="AG414" s="32"/>
      <c r="AH414" s="32"/>
      <c r="AI414" s="32"/>
      <c r="AJ414" s="32"/>
      <c r="AK414" s="32"/>
      <c r="AL414" s="32"/>
      <c r="AM414" s="32"/>
      <c r="AN414" s="32"/>
      <c r="AO414" s="32"/>
      <c r="AP414" s="32"/>
      <c r="AQ414" s="32"/>
    </row>
    <row r="415" spans="1:43" ht="15.75" customHeight="1">
      <c r="A415" s="458" t="s">
        <v>3805</v>
      </c>
      <c r="B415" s="33" t="s">
        <v>429</v>
      </c>
      <c r="C415" s="307" t="s">
        <v>3336</v>
      </c>
      <c r="D415" s="244"/>
      <c r="E415" s="188"/>
      <c r="F415" s="267" t="s">
        <v>3337</v>
      </c>
      <c r="G415" s="184"/>
      <c r="H415" s="203" t="s">
        <v>3338</v>
      </c>
      <c r="I415" s="185" t="s">
        <v>2533</v>
      </c>
      <c r="J415" s="22"/>
      <c r="K415" s="22" t="s">
        <v>3339</v>
      </c>
      <c r="L415" s="22" t="s">
        <v>1350</v>
      </c>
      <c r="M415" s="135" t="s">
        <v>1093</v>
      </c>
      <c r="N415" s="38" t="s">
        <v>3340</v>
      </c>
      <c r="O415" s="38"/>
      <c r="P415" s="25"/>
      <c r="Q415" s="56"/>
      <c r="R415" s="39" t="s">
        <v>537</v>
      </c>
      <c r="S415" s="77" t="s">
        <v>41</v>
      </c>
      <c r="T415" s="21"/>
      <c r="U415" s="28"/>
      <c r="V415" s="28"/>
      <c r="W415" s="29" t="s">
        <v>3133</v>
      </c>
      <c r="X415" s="29" t="s">
        <v>3134</v>
      </c>
      <c r="Y415" s="30" t="s">
        <v>3341</v>
      </c>
      <c r="Z415" s="102"/>
      <c r="AA415" s="30"/>
      <c r="AB415" s="41"/>
      <c r="AC415" s="32"/>
      <c r="AD415" s="21"/>
      <c r="AE415" s="32"/>
      <c r="AF415" s="32"/>
      <c r="AG415" s="32"/>
      <c r="AH415" s="32"/>
      <c r="AI415" s="32"/>
      <c r="AJ415" s="32"/>
      <c r="AK415" s="32"/>
      <c r="AL415" s="32"/>
      <c r="AM415" s="32"/>
      <c r="AN415" s="32"/>
      <c r="AO415" s="32"/>
      <c r="AP415" s="32"/>
      <c r="AQ415" s="32"/>
    </row>
    <row r="416" spans="1:43" ht="15.75" customHeight="1">
      <c r="A416" s="458" t="s">
        <v>3908</v>
      </c>
      <c r="B416" s="33" t="s">
        <v>429</v>
      </c>
      <c r="C416" s="252" t="s">
        <v>3907</v>
      </c>
      <c r="D416" s="232"/>
      <c r="E416" s="58"/>
      <c r="F416" s="265" t="s">
        <v>3342</v>
      </c>
      <c r="G416" s="32"/>
      <c r="H416" s="203" t="s">
        <v>3343</v>
      </c>
      <c r="I416" s="32" t="s">
        <v>2493</v>
      </c>
      <c r="J416" s="22"/>
      <c r="K416" s="22"/>
      <c r="L416" s="22"/>
      <c r="M416" s="303" t="s">
        <v>1828</v>
      </c>
      <c r="N416" s="38" t="s">
        <v>3344</v>
      </c>
      <c r="O416" s="65" t="s">
        <v>38</v>
      </c>
      <c r="P416" s="25"/>
      <c r="Q416" s="26" t="s">
        <v>1160</v>
      </c>
      <c r="R416" s="99" t="s">
        <v>537</v>
      </c>
      <c r="S416" s="77" t="s">
        <v>41</v>
      </c>
      <c r="T416" s="21"/>
      <c r="U416" s="28"/>
      <c r="V416" s="28"/>
      <c r="W416" s="29" t="s">
        <v>3133</v>
      </c>
      <c r="X416" s="29" t="s">
        <v>3134</v>
      </c>
      <c r="Y416" s="30" t="s">
        <v>3345</v>
      </c>
      <c r="Z416" s="197"/>
      <c r="AA416" s="30" t="s">
        <v>3346</v>
      </c>
      <c r="AB416" s="46" t="s">
        <v>3347</v>
      </c>
      <c r="AC416" s="32"/>
      <c r="AD416" s="21"/>
      <c r="AE416" s="32"/>
      <c r="AF416" s="32"/>
      <c r="AG416" s="32"/>
      <c r="AH416" s="32"/>
      <c r="AI416" s="32"/>
      <c r="AJ416" s="32"/>
      <c r="AK416" s="32"/>
      <c r="AL416" s="32"/>
      <c r="AM416" s="32"/>
      <c r="AN416" s="32"/>
      <c r="AO416" s="32"/>
      <c r="AP416" s="32"/>
      <c r="AQ416" s="32"/>
    </row>
    <row r="417" spans="1:43" ht="15.75" customHeight="1">
      <c r="A417" s="458" t="s">
        <v>3894</v>
      </c>
      <c r="B417" s="33" t="s">
        <v>429</v>
      </c>
      <c r="C417" s="252" t="s">
        <v>170</v>
      </c>
      <c r="D417" s="232"/>
      <c r="E417" s="58"/>
      <c r="F417" s="265" t="s">
        <v>3348</v>
      </c>
      <c r="G417" s="32"/>
      <c r="H417" s="203" t="s">
        <v>3349</v>
      </c>
      <c r="I417" s="32" t="s">
        <v>3350</v>
      </c>
      <c r="J417" s="22"/>
      <c r="K417" s="22"/>
      <c r="L417" s="22"/>
      <c r="M417" s="113" t="s">
        <v>3351</v>
      </c>
      <c r="N417" s="38" t="s">
        <v>3352</v>
      </c>
      <c r="O417" s="38"/>
      <c r="P417" s="25"/>
      <c r="Q417" s="26"/>
      <c r="R417" s="115" t="s">
        <v>382</v>
      </c>
      <c r="S417" s="204" t="s">
        <v>41</v>
      </c>
      <c r="T417" s="21"/>
      <c r="U417" s="28"/>
      <c r="V417" s="28"/>
      <c r="W417" s="29"/>
      <c r="X417" s="29"/>
      <c r="Y417" s="30"/>
      <c r="Z417" s="30"/>
      <c r="AA417" s="30"/>
      <c r="AB417" s="41"/>
      <c r="AC417" s="32" t="s">
        <v>1024</v>
      </c>
      <c r="AD417" s="21"/>
      <c r="AE417" s="32"/>
      <c r="AF417" s="32"/>
      <c r="AG417" s="32"/>
      <c r="AH417" s="32"/>
      <c r="AI417" s="32"/>
      <c r="AJ417" s="32"/>
      <c r="AK417" s="32"/>
      <c r="AL417" s="32"/>
      <c r="AM417" s="32"/>
      <c r="AN417" s="32"/>
      <c r="AO417" s="32"/>
      <c r="AP417" s="32"/>
      <c r="AQ417" s="32"/>
    </row>
    <row r="418" spans="1:43" ht="15.75" customHeight="1">
      <c r="A418" s="458" t="s">
        <v>3895</v>
      </c>
      <c r="B418" s="33" t="s">
        <v>429</v>
      </c>
      <c r="C418" s="252" t="s">
        <v>170</v>
      </c>
      <c r="D418" s="232"/>
      <c r="E418" s="58"/>
      <c r="F418" s="265" t="s">
        <v>3353</v>
      </c>
      <c r="G418" s="32"/>
      <c r="H418" s="39" t="s">
        <v>3354</v>
      </c>
      <c r="I418" s="190" t="s">
        <v>3355</v>
      </c>
      <c r="J418" s="107" t="s">
        <v>3356</v>
      </c>
      <c r="K418" s="107"/>
      <c r="L418" s="107" t="s">
        <v>3030</v>
      </c>
      <c r="M418" s="43" t="s">
        <v>136</v>
      </c>
      <c r="N418" s="38" t="s">
        <v>3357</v>
      </c>
      <c r="O418" s="38"/>
      <c r="P418" s="25"/>
      <c r="Q418" s="56"/>
      <c r="R418" s="36" t="s">
        <v>138</v>
      </c>
      <c r="S418" s="204" t="s">
        <v>41</v>
      </c>
      <c r="T418" s="21"/>
      <c r="U418" s="28"/>
      <c r="V418" s="28"/>
      <c r="W418" s="29"/>
      <c r="X418" s="29"/>
      <c r="Y418" s="30"/>
      <c r="Z418" s="30"/>
      <c r="AA418" s="30"/>
      <c r="AB418" s="41"/>
      <c r="AC418" s="32"/>
      <c r="AD418" s="21"/>
      <c r="AE418" s="32"/>
      <c r="AF418" s="32"/>
      <c r="AG418" s="32"/>
      <c r="AH418" s="32"/>
      <c r="AI418" s="32"/>
      <c r="AJ418" s="32"/>
      <c r="AK418" s="32"/>
      <c r="AL418" s="32"/>
      <c r="AM418" s="32"/>
      <c r="AN418" s="32"/>
      <c r="AO418" s="32"/>
      <c r="AP418" s="32"/>
      <c r="AQ418" s="32"/>
    </row>
    <row r="419" spans="1:43" ht="15.75" customHeight="1">
      <c r="A419" s="458" t="s">
        <v>3896</v>
      </c>
      <c r="B419" s="33" t="s">
        <v>429</v>
      </c>
      <c r="C419" s="361" t="s">
        <v>3928</v>
      </c>
      <c r="D419" s="232"/>
      <c r="E419" s="58"/>
      <c r="F419" s="265" t="s">
        <v>3358</v>
      </c>
      <c r="G419" s="32" t="s">
        <v>3359</v>
      </c>
      <c r="H419" s="204" t="s">
        <v>3360</v>
      </c>
      <c r="I419" s="185" t="s">
        <v>3361</v>
      </c>
      <c r="J419" s="22" t="s">
        <v>3362</v>
      </c>
      <c r="K419" s="22"/>
      <c r="L419" s="22"/>
      <c r="M419" s="43" t="s">
        <v>136</v>
      </c>
      <c r="N419" s="38" t="s">
        <v>3363</v>
      </c>
      <c r="O419" s="38"/>
      <c r="P419" s="25"/>
      <c r="Q419" s="56"/>
      <c r="R419" s="295" t="s">
        <v>138</v>
      </c>
      <c r="S419" s="204" t="s">
        <v>41</v>
      </c>
      <c r="T419" s="21"/>
      <c r="U419" s="28"/>
      <c r="V419" s="28"/>
      <c r="W419" s="29"/>
      <c r="X419" s="29"/>
      <c r="Y419" s="30"/>
      <c r="Z419" s="102"/>
      <c r="AA419" s="30"/>
      <c r="AB419" s="41"/>
      <c r="AC419" s="32"/>
      <c r="AD419" s="21"/>
      <c r="AE419" s="32"/>
      <c r="AF419" s="32"/>
      <c r="AG419" s="32"/>
      <c r="AH419" s="32"/>
      <c r="AI419" s="32"/>
      <c r="AJ419" s="32"/>
      <c r="AK419" s="32"/>
      <c r="AL419" s="32"/>
      <c r="AM419" s="32"/>
      <c r="AN419" s="32"/>
      <c r="AO419" s="32"/>
      <c r="AP419" s="32"/>
      <c r="AQ419" s="32"/>
    </row>
    <row r="420" spans="1:43" ht="15.75" customHeight="1">
      <c r="A420" s="458" t="s">
        <v>3364</v>
      </c>
      <c r="B420" s="33" t="s">
        <v>429</v>
      </c>
      <c r="C420" s="252" t="s">
        <v>170</v>
      </c>
      <c r="D420" s="244"/>
      <c r="E420" s="188"/>
      <c r="F420" s="267" t="s">
        <v>3365</v>
      </c>
      <c r="G420" s="184"/>
      <c r="H420" s="190" t="s">
        <v>3366</v>
      </c>
      <c r="I420" s="190" t="s">
        <v>2493</v>
      </c>
      <c r="J420" s="22"/>
      <c r="K420" s="22"/>
      <c r="L420" s="22" t="s">
        <v>3242</v>
      </c>
      <c r="M420" s="135" t="s">
        <v>3076</v>
      </c>
      <c r="N420" s="38" t="s">
        <v>3367</v>
      </c>
      <c r="O420" s="38"/>
      <c r="P420" s="25"/>
      <c r="Q420" s="56"/>
      <c r="R420" s="96" t="s">
        <v>537</v>
      </c>
      <c r="S420" s="77" t="s">
        <v>41</v>
      </c>
      <c r="T420" s="21"/>
      <c r="U420" s="28"/>
      <c r="V420" s="28"/>
      <c r="W420" s="29" t="s">
        <v>3133</v>
      </c>
      <c r="X420" s="29" t="s">
        <v>3134</v>
      </c>
      <c r="Y420" s="30" t="s">
        <v>3368</v>
      </c>
      <c r="Z420" s="418"/>
      <c r="AA420" s="30" t="s">
        <v>3369</v>
      </c>
      <c r="AB420" s="41"/>
      <c r="AC420" s="32"/>
      <c r="AD420" s="32"/>
      <c r="AE420" s="32"/>
      <c r="AF420" s="32"/>
      <c r="AG420" s="32"/>
      <c r="AH420" s="32"/>
      <c r="AI420" s="32"/>
      <c r="AJ420" s="32"/>
      <c r="AK420" s="32"/>
      <c r="AL420" s="32"/>
      <c r="AM420" s="32"/>
      <c r="AN420" s="32"/>
      <c r="AO420" s="32"/>
      <c r="AP420" s="32"/>
      <c r="AQ420" s="32"/>
    </row>
    <row r="421" spans="1:43" ht="15.75" customHeight="1">
      <c r="A421" s="458" t="s">
        <v>3370</v>
      </c>
      <c r="B421" s="33" t="s">
        <v>429</v>
      </c>
      <c r="C421" s="361" t="s">
        <v>3906</v>
      </c>
      <c r="D421" s="244"/>
      <c r="E421" s="58"/>
      <c r="F421" s="265" t="s">
        <v>3371</v>
      </c>
      <c r="G421" s="184"/>
      <c r="H421" s="203" t="s">
        <v>3958</v>
      </c>
      <c r="I421" s="32" t="s">
        <v>2493</v>
      </c>
      <c r="J421" s="22"/>
      <c r="K421" s="22"/>
      <c r="L421" s="22" t="s">
        <v>2738</v>
      </c>
      <c r="M421" s="135" t="s">
        <v>3372</v>
      </c>
      <c r="N421" s="38" t="s">
        <v>3373</v>
      </c>
      <c r="O421" s="38"/>
      <c r="P421" s="25"/>
      <c r="Q421" s="56"/>
      <c r="R421" s="94" t="s">
        <v>537</v>
      </c>
      <c r="S421" s="77" t="s">
        <v>41</v>
      </c>
      <c r="T421" s="21"/>
      <c r="U421" s="28"/>
      <c r="V421" s="28"/>
      <c r="W421" s="29" t="s">
        <v>3133</v>
      </c>
      <c r="X421" s="29" t="s">
        <v>3134</v>
      </c>
      <c r="Y421" s="30" t="s">
        <v>3374</v>
      </c>
      <c r="Z421" s="197"/>
      <c r="AA421" s="30" t="s">
        <v>3375</v>
      </c>
      <c r="AB421" s="46" t="s">
        <v>3376</v>
      </c>
      <c r="AC421" s="66" t="s">
        <v>3377</v>
      </c>
      <c r="AD421" s="32"/>
      <c r="AE421" s="32"/>
      <c r="AF421" s="32"/>
      <c r="AG421" s="32"/>
      <c r="AH421" s="32"/>
      <c r="AI421" s="32"/>
      <c r="AJ421" s="32"/>
      <c r="AK421" s="32"/>
      <c r="AL421" s="32"/>
      <c r="AM421" s="32"/>
      <c r="AN421" s="32"/>
      <c r="AO421" s="32"/>
      <c r="AP421" s="32"/>
      <c r="AQ421" s="32"/>
    </row>
    <row r="422" spans="1:43" ht="15.75" customHeight="1">
      <c r="A422" s="458" t="s">
        <v>3378</v>
      </c>
      <c r="B422" s="33" t="s">
        <v>429</v>
      </c>
      <c r="C422" s="252" t="s">
        <v>170</v>
      </c>
      <c r="D422" s="244"/>
      <c r="E422" s="188"/>
      <c r="F422" s="189" t="s">
        <v>3379</v>
      </c>
      <c r="G422" s="184"/>
      <c r="H422" s="203" t="s">
        <v>3380</v>
      </c>
      <c r="I422" s="190" t="s">
        <v>2493</v>
      </c>
      <c r="J422" s="82" t="s">
        <v>3381</v>
      </c>
      <c r="K422" s="82"/>
      <c r="L422" s="82"/>
      <c r="M422" s="135" t="s">
        <v>649</v>
      </c>
      <c r="N422" s="38" t="s">
        <v>3382</v>
      </c>
      <c r="O422" s="38" t="s">
        <v>3383</v>
      </c>
      <c r="P422" s="25"/>
      <c r="Q422" s="26" t="s">
        <v>3384</v>
      </c>
      <c r="R422" s="39" t="s">
        <v>517</v>
      </c>
      <c r="S422" s="77" t="s">
        <v>41</v>
      </c>
      <c r="T422" s="21"/>
      <c r="U422" s="28"/>
      <c r="V422" s="28"/>
      <c r="W422" s="29" t="s">
        <v>3133</v>
      </c>
      <c r="X422" s="29" t="s">
        <v>3134</v>
      </c>
      <c r="Y422" s="30" t="s">
        <v>3385</v>
      </c>
      <c r="Z422" s="30" t="s">
        <v>3386</v>
      </c>
      <c r="AA422" s="30" t="s">
        <v>3387</v>
      </c>
      <c r="AB422" s="46" t="s">
        <v>3388</v>
      </c>
      <c r="AC422" s="32"/>
      <c r="AD422" s="32"/>
      <c r="AE422" s="32"/>
      <c r="AF422" s="32"/>
      <c r="AG422" s="32"/>
      <c r="AH422" s="32"/>
      <c r="AI422" s="32"/>
      <c r="AJ422" s="32"/>
      <c r="AK422" s="32"/>
      <c r="AL422" s="32"/>
      <c r="AM422" s="32"/>
      <c r="AN422" s="32"/>
      <c r="AO422" s="32"/>
      <c r="AP422" s="32"/>
      <c r="AQ422" s="32"/>
    </row>
    <row r="423" spans="1:43" ht="15.75" customHeight="1">
      <c r="A423" s="458" t="s">
        <v>3389</v>
      </c>
      <c r="B423" s="33" t="s">
        <v>429</v>
      </c>
      <c r="C423" s="252" t="s">
        <v>170</v>
      </c>
      <c r="D423" s="244"/>
      <c r="E423" s="188"/>
      <c r="F423" s="189" t="s">
        <v>3390</v>
      </c>
      <c r="G423" s="184"/>
      <c r="H423" s="203" t="s">
        <v>3955</v>
      </c>
      <c r="I423" s="190" t="s">
        <v>2493</v>
      </c>
      <c r="J423" s="22"/>
      <c r="K423" s="22"/>
      <c r="L423" s="22" t="s">
        <v>1276</v>
      </c>
      <c r="M423" s="135" t="s">
        <v>649</v>
      </c>
      <c r="N423" s="38" t="s">
        <v>3391</v>
      </c>
      <c r="O423" s="38"/>
      <c r="P423" s="25" t="s">
        <v>3392</v>
      </c>
      <c r="Q423" s="56" t="s">
        <v>3393</v>
      </c>
      <c r="R423" s="99" t="s">
        <v>537</v>
      </c>
      <c r="S423" s="77" t="s">
        <v>41</v>
      </c>
      <c r="T423" s="21" t="s">
        <v>3394</v>
      </c>
      <c r="U423" s="28"/>
      <c r="V423" s="28"/>
      <c r="W423" s="29" t="s">
        <v>3133</v>
      </c>
      <c r="X423" s="29" t="s">
        <v>3134</v>
      </c>
      <c r="Y423" s="30" t="s">
        <v>3395</v>
      </c>
      <c r="Z423" s="30"/>
      <c r="AA423" s="30" t="s">
        <v>3956</v>
      </c>
      <c r="AB423" s="41" t="s">
        <v>3957</v>
      </c>
      <c r="AC423" s="32"/>
      <c r="AD423" s="32"/>
      <c r="AE423" s="32"/>
      <c r="AF423" s="32"/>
      <c r="AG423" s="32"/>
      <c r="AH423" s="32"/>
      <c r="AI423" s="32"/>
      <c r="AJ423" s="32"/>
      <c r="AK423" s="32"/>
      <c r="AL423" s="32"/>
      <c r="AM423" s="32"/>
      <c r="AN423" s="32"/>
      <c r="AO423" s="32"/>
      <c r="AP423" s="32"/>
      <c r="AQ423" s="32"/>
    </row>
    <row r="424" spans="1:43" ht="15.75" customHeight="1">
      <c r="A424" s="458" t="s">
        <v>3897</v>
      </c>
      <c r="B424" s="14" t="s">
        <v>429</v>
      </c>
      <c r="C424" s="252" t="s">
        <v>170</v>
      </c>
      <c r="D424" s="232"/>
      <c r="E424" s="58"/>
      <c r="F424" s="265" t="s">
        <v>3396</v>
      </c>
      <c r="G424" s="32"/>
      <c r="H424" s="203" t="s">
        <v>3397</v>
      </c>
      <c r="I424" s="185" t="s">
        <v>3398</v>
      </c>
      <c r="J424" s="82"/>
      <c r="K424" s="82"/>
      <c r="L424" s="82"/>
      <c r="M424" s="135" t="s">
        <v>2467</v>
      </c>
      <c r="N424" s="38" t="s">
        <v>2468</v>
      </c>
      <c r="O424" s="294"/>
      <c r="P424" s="124"/>
      <c r="Q424" s="56"/>
      <c r="R424" s="115" t="s">
        <v>382</v>
      </c>
      <c r="S424" s="204" t="s">
        <v>41</v>
      </c>
      <c r="T424" s="21"/>
      <c r="U424" s="28"/>
      <c r="V424" s="28"/>
      <c r="W424" s="29" t="s">
        <v>3133</v>
      </c>
      <c r="X424" s="29" t="s">
        <v>3134</v>
      </c>
      <c r="Y424" s="30" t="s">
        <v>3399</v>
      </c>
      <c r="Z424" s="30"/>
      <c r="AA424" s="30"/>
      <c r="AB424" s="41"/>
      <c r="AC424" s="32"/>
      <c r="AD424" s="32"/>
      <c r="AE424" s="32"/>
      <c r="AF424" s="32"/>
      <c r="AG424" s="32"/>
      <c r="AH424" s="32"/>
      <c r="AI424" s="32"/>
      <c r="AJ424" s="32"/>
      <c r="AK424" s="32"/>
      <c r="AL424" s="32"/>
      <c r="AM424" s="32"/>
      <c r="AN424" s="32"/>
      <c r="AO424" s="32"/>
      <c r="AP424" s="32"/>
      <c r="AQ424" s="32"/>
    </row>
    <row r="425" spans="1:43" ht="15.75" customHeight="1">
      <c r="A425" s="458" t="s">
        <v>3898</v>
      </c>
      <c r="B425" s="33" t="s">
        <v>429</v>
      </c>
      <c r="C425" s="254" t="s">
        <v>3400</v>
      </c>
      <c r="D425" s="232"/>
      <c r="E425" s="58"/>
      <c r="F425" s="16" t="s">
        <v>3401</v>
      </c>
      <c r="G425" s="32"/>
      <c r="H425" s="203" t="s">
        <v>3402</v>
      </c>
      <c r="I425" s="214" t="s">
        <v>574</v>
      </c>
      <c r="J425" s="35"/>
      <c r="K425" s="22"/>
      <c r="L425" s="22" t="s">
        <v>3403</v>
      </c>
      <c r="M425" s="304" t="s">
        <v>3404</v>
      </c>
      <c r="N425" s="54" t="s">
        <v>3405</v>
      </c>
      <c r="O425" s="54"/>
      <c r="P425" s="74" t="s">
        <v>3406</v>
      </c>
      <c r="Q425" s="56" t="s">
        <v>3407</v>
      </c>
      <c r="R425" s="101" t="s">
        <v>40</v>
      </c>
      <c r="S425" s="77" t="s">
        <v>41</v>
      </c>
      <c r="T425" s="21"/>
      <c r="U425" s="28"/>
      <c r="V425" s="28"/>
      <c r="W425" s="29" t="s">
        <v>3133</v>
      </c>
      <c r="X425" s="29" t="s">
        <v>3134</v>
      </c>
      <c r="Y425" s="30" t="s">
        <v>3184</v>
      </c>
      <c r="Z425" s="30"/>
      <c r="AA425" s="30"/>
      <c r="AB425" s="41"/>
      <c r="AC425" s="32"/>
      <c r="AD425" s="32"/>
      <c r="AE425" s="32"/>
      <c r="AF425" s="32"/>
      <c r="AG425" s="32"/>
      <c r="AH425" s="32"/>
      <c r="AI425" s="32"/>
      <c r="AJ425" s="32"/>
      <c r="AK425" s="32"/>
      <c r="AL425" s="32"/>
      <c r="AM425" s="32"/>
      <c r="AN425" s="32"/>
      <c r="AO425" s="32"/>
      <c r="AP425" s="32"/>
      <c r="AQ425" s="32"/>
    </row>
    <row r="426" spans="1:43" ht="15.75" customHeight="1">
      <c r="A426" s="458" t="s">
        <v>3408</v>
      </c>
      <c r="B426" s="33" t="s">
        <v>429</v>
      </c>
      <c r="C426" s="247" t="s">
        <v>170</v>
      </c>
      <c r="D426" s="232"/>
      <c r="E426" s="58"/>
      <c r="F426" s="47" t="s">
        <v>3409</v>
      </c>
      <c r="G426" s="32"/>
      <c r="H426" s="190" t="s">
        <v>3410</v>
      </c>
      <c r="I426" s="214" t="s">
        <v>3063</v>
      </c>
      <c r="J426" s="22"/>
      <c r="K426" s="93"/>
      <c r="L426" s="93"/>
      <c r="M426" s="39" t="s">
        <v>2068</v>
      </c>
      <c r="N426" s="135" t="s">
        <v>2069</v>
      </c>
      <c r="O426" s="135"/>
      <c r="P426" s="55"/>
      <c r="Q426" s="56"/>
      <c r="R426" s="77" t="s">
        <v>634</v>
      </c>
      <c r="S426" s="77" t="s">
        <v>41</v>
      </c>
      <c r="T426" s="21"/>
      <c r="U426" s="28"/>
      <c r="V426" s="28"/>
      <c r="W426" s="29"/>
      <c r="X426" s="29"/>
      <c r="Y426" s="30"/>
      <c r="Z426" s="30"/>
      <c r="AA426" s="30"/>
      <c r="AB426" s="41"/>
      <c r="AC426" s="32"/>
      <c r="AD426" s="21"/>
      <c r="AE426" s="32"/>
      <c r="AF426" s="32"/>
      <c r="AG426" s="32"/>
      <c r="AH426" s="32"/>
      <c r="AI426" s="32"/>
      <c r="AJ426" s="32"/>
      <c r="AK426" s="32"/>
      <c r="AL426" s="32"/>
      <c r="AM426" s="32"/>
      <c r="AN426" s="32"/>
      <c r="AO426" s="32"/>
      <c r="AP426" s="32"/>
      <c r="AQ426" s="32"/>
    </row>
    <row r="427" spans="1:43" ht="15.75" customHeight="1">
      <c r="A427" s="458" t="s">
        <v>3411</v>
      </c>
      <c r="B427" s="33" t="s">
        <v>429</v>
      </c>
      <c r="C427" s="247" t="s">
        <v>170</v>
      </c>
      <c r="D427" s="232"/>
      <c r="E427" s="58"/>
      <c r="F427" s="265" t="s">
        <v>3412</v>
      </c>
      <c r="G427" s="32"/>
      <c r="H427" s="190" t="s">
        <v>3413</v>
      </c>
      <c r="I427" s="32" t="s">
        <v>3063</v>
      </c>
      <c r="J427" s="22"/>
      <c r="K427" s="22"/>
      <c r="L427" s="22" t="s">
        <v>795</v>
      </c>
      <c r="M427" s="32" t="s">
        <v>2068</v>
      </c>
      <c r="N427" s="135" t="s">
        <v>2069</v>
      </c>
      <c r="O427" s="135"/>
      <c r="P427" s="55"/>
      <c r="Q427" s="56"/>
      <c r="R427" s="77" t="s">
        <v>634</v>
      </c>
      <c r="S427" s="77" t="s">
        <v>41</v>
      </c>
      <c r="T427" s="21"/>
      <c r="U427" s="28"/>
      <c r="V427" s="28"/>
      <c r="W427" s="29"/>
      <c r="X427" s="29"/>
      <c r="Y427" s="30"/>
      <c r="Z427" s="30"/>
      <c r="AA427" s="30"/>
      <c r="AB427" s="41"/>
      <c r="AC427" s="32"/>
      <c r="AD427" s="21"/>
      <c r="AE427" s="32"/>
      <c r="AF427" s="32"/>
      <c r="AG427" s="32"/>
      <c r="AH427" s="32"/>
      <c r="AI427" s="32"/>
      <c r="AJ427" s="32"/>
      <c r="AK427" s="32"/>
      <c r="AL427" s="32"/>
      <c r="AM427" s="32"/>
      <c r="AN427" s="32"/>
      <c r="AO427" s="32"/>
      <c r="AP427" s="32"/>
      <c r="AQ427" s="32"/>
    </row>
    <row r="428" spans="1:43" ht="15.75" customHeight="1">
      <c r="A428" s="458" t="s">
        <v>3414</v>
      </c>
      <c r="B428" s="14" t="s">
        <v>429</v>
      </c>
      <c r="C428" s="247" t="s">
        <v>170</v>
      </c>
      <c r="D428" s="232"/>
      <c r="E428" s="58"/>
      <c r="F428" s="265" t="s">
        <v>3415</v>
      </c>
      <c r="G428" s="32"/>
      <c r="H428" s="48" t="s">
        <v>3416</v>
      </c>
      <c r="I428" s="185" t="s">
        <v>2533</v>
      </c>
      <c r="J428" s="22"/>
      <c r="K428" s="22"/>
      <c r="L428" s="22" t="s">
        <v>3417</v>
      </c>
      <c r="M428" s="135" t="s">
        <v>3418</v>
      </c>
      <c r="N428" s="54" t="s">
        <v>3419</v>
      </c>
      <c r="O428" s="54"/>
      <c r="P428" s="55"/>
      <c r="Q428" s="56"/>
      <c r="R428" s="101" t="s">
        <v>40</v>
      </c>
      <c r="S428" s="135" t="s">
        <v>41</v>
      </c>
      <c r="T428" s="21"/>
      <c r="U428" s="28"/>
      <c r="V428" s="28"/>
      <c r="W428" s="29" t="s">
        <v>3133</v>
      </c>
      <c r="X428" s="118" t="s">
        <v>3134</v>
      </c>
      <c r="Y428" s="30" t="s">
        <v>3236</v>
      </c>
      <c r="Z428" s="30"/>
      <c r="AA428" s="30"/>
      <c r="AB428" s="41"/>
      <c r="AC428" s="32"/>
      <c r="AD428" s="21"/>
      <c r="AE428" s="32"/>
      <c r="AF428" s="32"/>
      <c r="AG428" s="32"/>
      <c r="AH428" s="32"/>
      <c r="AI428" s="32"/>
      <c r="AJ428" s="32"/>
      <c r="AK428" s="32"/>
      <c r="AL428" s="32"/>
      <c r="AM428" s="32"/>
      <c r="AN428" s="32"/>
      <c r="AO428" s="32"/>
      <c r="AP428" s="32"/>
      <c r="AQ428" s="32"/>
    </row>
    <row r="429" spans="1:43" ht="15.75" customHeight="1">
      <c r="A429" s="458" t="s">
        <v>3420</v>
      </c>
      <c r="B429" s="33" t="s">
        <v>429</v>
      </c>
      <c r="C429" s="247" t="s">
        <v>170</v>
      </c>
      <c r="D429" s="232"/>
      <c r="E429" s="58"/>
      <c r="F429" s="265" t="s">
        <v>3421</v>
      </c>
      <c r="G429" s="32"/>
      <c r="H429" s="203" t="s">
        <v>3422</v>
      </c>
      <c r="I429" s="190" t="s">
        <v>2533</v>
      </c>
      <c r="J429" s="82"/>
      <c r="K429" s="82"/>
      <c r="L429" s="82" t="s">
        <v>981</v>
      </c>
      <c r="M429" s="135" t="s">
        <v>3351</v>
      </c>
      <c r="N429" s="54" t="s">
        <v>3352</v>
      </c>
      <c r="O429" s="394"/>
      <c r="P429" s="112"/>
      <c r="Q429" s="121"/>
      <c r="R429" s="115" t="s">
        <v>382</v>
      </c>
      <c r="S429" s="77" t="s">
        <v>41</v>
      </c>
      <c r="T429" s="21"/>
      <c r="U429" s="28"/>
      <c r="V429" s="28"/>
      <c r="W429" s="29" t="s">
        <v>3133</v>
      </c>
      <c r="X429" s="118" t="s">
        <v>3134</v>
      </c>
      <c r="Y429" s="30" t="s">
        <v>3236</v>
      </c>
      <c r="Z429" s="30"/>
      <c r="AA429" s="30"/>
      <c r="AB429" s="41"/>
      <c r="AC429" s="32"/>
      <c r="AD429" s="21"/>
      <c r="AE429" s="32"/>
      <c r="AF429" s="32"/>
      <c r="AG429" s="32"/>
      <c r="AH429" s="32"/>
      <c r="AI429" s="32"/>
      <c r="AJ429" s="32"/>
      <c r="AK429" s="32"/>
      <c r="AL429" s="32"/>
      <c r="AM429" s="32"/>
      <c r="AN429" s="32"/>
      <c r="AO429" s="32"/>
      <c r="AP429" s="32"/>
      <c r="AQ429" s="32"/>
    </row>
    <row r="430" spans="1:43" ht="15.75" customHeight="1">
      <c r="A430" s="458" t="s">
        <v>3899</v>
      </c>
      <c r="B430" s="33" t="s">
        <v>429</v>
      </c>
      <c r="C430" s="247" t="s">
        <v>170</v>
      </c>
      <c r="D430" s="232"/>
      <c r="E430" s="58"/>
      <c r="F430" s="265" t="s">
        <v>3423</v>
      </c>
      <c r="G430" s="32"/>
      <c r="H430" s="203" t="s">
        <v>3424</v>
      </c>
      <c r="I430" s="190" t="s">
        <v>2533</v>
      </c>
      <c r="J430" s="82"/>
      <c r="K430" s="82"/>
      <c r="L430" s="82"/>
      <c r="M430" s="135" t="s">
        <v>2947</v>
      </c>
      <c r="N430" s="38" t="s">
        <v>3425</v>
      </c>
      <c r="O430" s="38"/>
      <c r="Q430" s="289" t="s">
        <v>3937</v>
      </c>
      <c r="R430" s="115" t="s">
        <v>382</v>
      </c>
      <c r="S430" s="77" t="s">
        <v>41</v>
      </c>
      <c r="T430" s="21"/>
      <c r="U430" s="28"/>
      <c r="V430" s="28"/>
      <c r="W430" s="29"/>
      <c r="X430" s="29"/>
      <c r="Y430" s="30"/>
      <c r="Z430" s="30"/>
      <c r="AA430" s="30"/>
      <c r="AB430" s="41"/>
      <c r="AC430" s="32"/>
      <c r="AD430" s="21"/>
      <c r="AE430" s="32"/>
      <c r="AF430" s="32"/>
      <c r="AG430" s="32"/>
      <c r="AH430" s="32"/>
      <c r="AI430" s="32"/>
      <c r="AJ430" s="32"/>
      <c r="AK430" s="32"/>
      <c r="AL430" s="32"/>
      <c r="AM430" s="32"/>
      <c r="AN430" s="32"/>
      <c r="AO430" s="32"/>
      <c r="AP430" s="32"/>
      <c r="AQ430" s="32"/>
    </row>
    <row r="431" spans="1:43" ht="15.75" customHeight="1">
      <c r="A431" s="458" t="s">
        <v>3900</v>
      </c>
      <c r="B431" s="33" t="s">
        <v>429</v>
      </c>
      <c r="C431" s="247" t="s">
        <v>170</v>
      </c>
      <c r="D431" s="232"/>
      <c r="E431" s="58"/>
      <c r="F431" s="47" t="s">
        <v>3426</v>
      </c>
      <c r="G431" s="32"/>
      <c r="H431" s="203" t="s">
        <v>3427</v>
      </c>
      <c r="I431" s="190" t="s">
        <v>2533</v>
      </c>
      <c r="J431" s="82"/>
      <c r="K431" s="82"/>
      <c r="L431" s="22"/>
      <c r="M431" s="135" t="s">
        <v>2947</v>
      </c>
      <c r="N431" s="38" t="s">
        <v>3425</v>
      </c>
      <c r="O431" s="38"/>
      <c r="P431" s="25"/>
      <c r="Q431" s="26"/>
      <c r="R431" s="115" t="s">
        <v>382</v>
      </c>
      <c r="S431" s="206" t="s">
        <v>41</v>
      </c>
      <c r="T431" s="21"/>
      <c r="U431" s="28"/>
      <c r="V431" s="28"/>
      <c r="W431" s="29"/>
      <c r="X431" s="29"/>
      <c r="Y431" s="30"/>
      <c r="Z431" s="30"/>
      <c r="AA431" s="30"/>
      <c r="AB431" s="41"/>
      <c r="AC431" s="32"/>
      <c r="AD431" s="21"/>
      <c r="AE431" s="32"/>
      <c r="AF431" s="32"/>
      <c r="AG431" s="32"/>
      <c r="AH431" s="32"/>
      <c r="AI431" s="32"/>
      <c r="AJ431" s="32"/>
      <c r="AK431" s="32"/>
      <c r="AL431" s="32"/>
      <c r="AM431" s="32"/>
      <c r="AN431" s="32"/>
      <c r="AO431" s="32"/>
      <c r="AP431" s="32"/>
      <c r="AQ431" s="32"/>
    </row>
    <row r="432" spans="1:43" ht="15.75" customHeight="1">
      <c r="A432" s="458" t="s">
        <v>3901</v>
      </c>
      <c r="B432" s="33" t="s">
        <v>429</v>
      </c>
      <c r="C432" s="248" t="s">
        <v>142</v>
      </c>
      <c r="D432" s="232"/>
      <c r="E432" s="58"/>
      <c r="F432" s="16" t="s">
        <v>3428</v>
      </c>
      <c r="G432" s="32"/>
      <c r="H432" s="203" t="s">
        <v>3429</v>
      </c>
      <c r="I432" s="190" t="s">
        <v>2533</v>
      </c>
      <c r="J432" s="98"/>
      <c r="K432" s="103"/>
      <c r="L432" s="103" t="s">
        <v>3430</v>
      </c>
      <c r="M432" s="135" t="s">
        <v>3431</v>
      </c>
      <c r="N432" s="54" t="s">
        <v>3432</v>
      </c>
      <c r="O432" s="394"/>
      <c r="P432" s="112"/>
      <c r="Q432" s="121"/>
      <c r="R432" s="296" t="s">
        <v>3433</v>
      </c>
      <c r="S432" s="135" t="s">
        <v>41</v>
      </c>
      <c r="T432" s="21"/>
      <c r="U432" s="28"/>
      <c r="V432" s="28"/>
      <c r="W432" s="29"/>
      <c r="X432" s="29"/>
      <c r="Y432" s="30"/>
      <c r="Z432" s="30"/>
      <c r="AA432" s="30"/>
      <c r="AB432" s="41"/>
      <c r="AC432" s="32"/>
      <c r="AD432" s="21"/>
      <c r="AE432" s="32"/>
      <c r="AF432" s="32"/>
      <c r="AG432" s="32"/>
      <c r="AH432" s="32"/>
      <c r="AI432" s="32"/>
      <c r="AJ432" s="32"/>
      <c r="AK432" s="32"/>
      <c r="AL432" s="32"/>
      <c r="AM432" s="32"/>
      <c r="AN432" s="32"/>
      <c r="AO432" s="32"/>
      <c r="AP432" s="32"/>
      <c r="AQ432" s="32"/>
    </row>
    <row r="433" spans="1:43" ht="15.75" customHeight="1">
      <c r="A433" s="458" t="s">
        <v>3434</v>
      </c>
      <c r="B433" s="33" t="s">
        <v>429</v>
      </c>
      <c r="C433" s="252" t="s">
        <v>170</v>
      </c>
      <c r="D433" s="232"/>
      <c r="E433" s="58"/>
      <c r="F433" s="47" t="s">
        <v>3435</v>
      </c>
      <c r="G433" s="32"/>
      <c r="H433" s="203" t="s">
        <v>3436</v>
      </c>
      <c r="I433" s="190" t="s">
        <v>2493</v>
      </c>
      <c r="J433" s="22"/>
      <c r="K433" s="22"/>
      <c r="L433" s="22"/>
      <c r="M433" s="135" t="s">
        <v>1608</v>
      </c>
      <c r="N433" s="54" t="s">
        <v>1230</v>
      </c>
      <c r="O433" s="54" t="s">
        <v>3437</v>
      </c>
      <c r="P433" s="55"/>
      <c r="Q433" s="56" t="s">
        <v>3438</v>
      </c>
      <c r="R433" s="32" t="s">
        <v>517</v>
      </c>
      <c r="S433" s="206" t="s">
        <v>41</v>
      </c>
      <c r="T433" s="21"/>
      <c r="U433" s="28"/>
      <c r="V433" s="28"/>
      <c r="W433" s="29" t="s">
        <v>3133</v>
      </c>
      <c r="X433" s="118" t="s">
        <v>3134</v>
      </c>
      <c r="Y433" s="30" t="s">
        <v>3439</v>
      </c>
      <c r="Z433" s="30" t="s">
        <v>3440</v>
      </c>
      <c r="AA433" s="30"/>
      <c r="AB433" s="41"/>
      <c r="AC433" s="32"/>
      <c r="AD433" s="21"/>
      <c r="AE433" s="32"/>
      <c r="AF433" s="32"/>
      <c r="AG433" s="32"/>
      <c r="AH433" s="32"/>
      <c r="AI433" s="32"/>
      <c r="AJ433" s="32"/>
      <c r="AK433" s="32"/>
      <c r="AL433" s="32"/>
      <c r="AM433" s="32"/>
      <c r="AN433" s="32"/>
      <c r="AO433" s="32"/>
      <c r="AP433" s="32"/>
      <c r="AQ433" s="32"/>
    </row>
    <row r="434" spans="1:43" ht="15.75" customHeight="1">
      <c r="A434" s="458" t="s">
        <v>3441</v>
      </c>
      <c r="B434" s="33" t="s">
        <v>429</v>
      </c>
      <c r="C434" s="252" t="s">
        <v>170</v>
      </c>
      <c r="D434" s="232"/>
      <c r="E434" s="58"/>
      <c r="F434" s="265" t="s">
        <v>3442</v>
      </c>
      <c r="G434" s="32"/>
      <c r="H434" s="203" t="s">
        <v>3443</v>
      </c>
      <c r="I434" s="190" t="s">
        <v>2533</v>
      </c>
      <c r="J434" s="22"/>
      <c r="K434" s="22"/>
      <c r="L434" s="22"/>
      <c r="M434" s="135" t="s">
        <v>2716</v>
      </c>
      <c r="N434" s="134" t="s">
        <v>3444</v>
      </c>
      <c r="O434" s="54"/>
      <c r="P434" s="55"/>
      <c r="Q434" s="56"/>
      <c r="R434" s="99" t="s">
        <v>1095</v>
      </c>
      <c r="S434" s="206" t="s">
        <v>41</v>
      </c>
      <c r="T434" s="21"/>
      <c r="U434" s="28"/>
      <c r="V434" s="28"/>
      <c r="W434" s="29" t="s">
        <v>3133</v>
      </c>
      <c r="X434" s="118" t="s">
        <v>3134</v>
      </c>
      <c r="Y434" s="30" t="s">
        <v>3445</v>
      </c>
      <c r="Z434" s="30"/>
      <c r="AA434" s="30"/>
      <c r="AB434" s="41"/>
      <c r="AC434" s="32"/>
      <c r="AD434" s="32"/>
      <c r="AE434" s="32"/>
      <c r="AF434" s="32"/>
      <c r="AG434" s="32"/>
      <c r="AH434" s="32"/>
      <c r="AI434" s="32"/>
      <c r="AJ434" s="32"/>
      <c r="AK434" s="32"/>
      <c r="AL434" s="32"/>
      <c r="AM434" s="32"/>
      <c r="AN434" s="32"/>
      <c r="AO434" s="32"/>
      <c r="AP434" s="32"/>
      <c r="AQ434" s="32"/>
    </row>
    <row r="435" spans="1:43" ht="15.75" customHeight="1">
      <c r="A435" s="458" t="s">
        <v>3902</v>
      </c>
      <c r="B435" s="33" t="s">
        <v>429</v>
      </c>
      <c r="C435" s="252" t="s">
        <v>170</v>
      </c>
      <c r="D435" s="232"/>
      <c r="E435" s="58"/>
      <c r="F435" s="265" t="s">
        <v>3446</v>
      </c>
      <c r="G435" s="32"/>
      <c r="H435" s="203" t="s">
        <v>3447</v>
      </c>
      <c r="I435" s="190" t="s">
        <v>2533</v>
      </c>
      <c r="J435" s="22"/>
      <c r="K435" s="22"/>
      <c r="L435" s="22"/>
      <c r="M435" s="43" t="s">
        <v>251</v>
      </c>
      <c r="N435" s="54" t="s">
        <v>3448</v>
      </c>
      <c r="O435" s="54"/>
      <c r="P435" s="55"/>
      <c r="Q435" s="56"/>
      <c r="R435" s="96" t="s">
        <v>79</v>
      </c>
      <c r="S435" s="206" t="s">
        <v>41</v>
      </c>
      <c r="T435" s="21"/>
      <c r="U435" s="28"/>
      <c r="V435" s="28"/>
      <c r="W435" s="29"/>
      <c r="X435" s="29"/>
      <c r="Y435" s="30"/>
      <c r="Z435" s="30"/>
      <c r="AA435" s="30"/>
      <c r="AB435" s="41"/>
      <c r="AC435" s="32"/>
      <c r="AD435" s="32"/>
      <c r="AE435" s="32"/>
      <c r="AF435" s="32"/>
      <c r="AG435" s="32"/>
      <c r="AH435" s="32"/>
      <c r="AI435" s="32"/>
      <c r="AJ435" s="32"/>
      <c r="AK435" s="32"/>
      <c r="AL435" s="32"/>
      <c r="AM435" s="32"/>
      <c r="AN435" s="32"/>
      <c r="AO435" s="32"/>
      <c r="AP435" s="32"/>
      <c r="AQ435" s="32"/>
    </row>
    <row r="436" spans="1:43" ht="15.75" customHeight="1">
      <c r="A436" s="458" t="s">
        <v>3903</v>
      </c>
      <c r="B436" s="33" t="s">
        <v>429</v>
      </c>
      <c r="C436" s="252" t="s">
        <v>170</v>
      </c>
      <c r="D436" s="232"/>
      <c r="E436" s="58"/>
      <c r="F436" s="265" t="s">
        <v>3449</v>
      </c>
      <c r="G436" s="32"/>
      <c r="H436" s="190" t="s">
        <v>3450</v>
      </c>
      <c r="I436" s="32" t="s">
        <v>3451</v>
      </c>
      <c r="J436" s="82" t="s">
        <v>2968</v>
      </c>
      <c r="K436" s="82"/>
      <c r="L436" s="22"/>
      <c r="M436" s="135" t="s">
        <v>2068</v>
      </c>
      <c r="N436" s="54" t="s">
        <v>2069</v>
      </c>
      <c r="O436" s="54"/>
      <c r="P436" s="55"/>
      <c r="Q436" s="56"/>
      <c r="R436" s="191" t="s">
        <v>634</v>
      </c>
      <c r="S436" s="206" t="s">
        <v>41</v>
      </c>
      <c r="T436" s="21"/>
      <c r="U436" s="28"/>
      <c r="V436" s="28"/>
      <c r="W436" s="29"/>
      <c r="X436" s="29"/>
      <c r="Y436" s="30"/>
      <c r="Z436" s="30"/>
      <c r="AA436" s="30"/>
      <c r="AB436" s="41"/>
      <c r="AC436" s="32"/>
      <c r="AD436" s="21"/>
      <c r="AE436" s="32"/>
      <c r="AF436" s="32"/>
      <c r="AG436" s="32"/>
      <c r="AH436" s="32"/>
      <c r="AI436" s="32"/>
      <c r="AJ436" s="32"/>
      <c r="AK436" s="32"/>
      <c r="AL436" s="32"/>
      <c r="AM436" s="32"/>
      <c r="AN436" s="32"/>
      <c r="AO436" s="32"/>
      <c r="AP436" s="32"/>
      <c r="AQ436" s="32"/>
    </row>
    <row r="437" spans="1:43" ht="15.75" customHeight="1">
      <c r="A437" s="458" t="s">
        <v>3452</v>
      </c>
      <c r="B437" s="33" t="s">
        <v>429</v>
      </c>
      <c r="C437" s="255" t="s">
        <v>3452</v>
      </c>
      <c r="D437" s="232"/>
      <c r="E437" s="58"/>
      <c r="F437" s="265" t="s">
        <v>3453</v>
      </c>
      <c r="G437" s="32" t="s">
        <v>3454</v>
      </c>
      <c r="H437" s="203" t="s">
        <v>3455</v>
      </c>
      <c r="I437" s="190" t="s">
        <v>2533</v>
      </c>
      <c r="J437" s="35"/>
      <c r="K437" s="22"/>
      <c r="L437" s="22" t="s">
        <v>3456</v>
      </c>
      <c r="M437" s="206" t="s">
        <v>475</v>
      </c>
      <c r="N437" s="54" t="s">
        <v>3457</v>
      </c>
      <c r="O437" s="54"/>
      <c r="P437" s="55"/>
      <c r="Q437" s="56"/>
      <c r="R437" s="101" t="s">
        <v>40</v>
      </c>
      <c r="S437" s="206" t="s">
        <v>41</v>
      </c>
      <c r="T437" s="21"/>
      <c r="U437" s="28" t="s">
        <v>3458</v>
      </c>
      <c r="V437" s="28" t="s">
        <v>3459</v>
      </c>
      <c r="W437" s="29" t="s">
        <v>3133</v>
      </c>
      <c r="X437" s="118" t="s">
        <v>3134</v>
      </c>
      <c r="Y437" s="30" t="s">
        <v>3460</v>
      </c>
      <c r="Z437" s="30"/>
      <c r="AA437" s="30"/>
      <c r="AB437" s="41"/>
      <c r="AC437" s="32"/>
      <c r="AD437" s="21"/>
      <c r="AE437" s="32"/>
      <c r="AF437" s="32"/>
      <c r="AG437" s="32"/>
      <c r="AH437" s="32"/>
      <c r="AI437" s="32"/>
      <c r="AJ437" s="32"/>
      <c r="AK437" s="32"/>
      <c r="AL437" s="32"/>
      <c r="AM437" s="32"/>
      <c r="AN437" s="32"/>
      <c r="AO437" s="32"/>
      <c r="AP437" s="32"/>
      <c r="AQ437" s="32"/>
    </row>
    <row r="438" spans="1:43" ht="15.75" customHeight="1">
      <c r="A438" s="458" t="s">
        <v>3904</v>
      </c>
      <c r="B438" s="33" t="s">
        <v>429</v>
      </c>
      <c r="C438" s="247" t="s">
        <v>170</v>
      </c>
      <c r="D438" s="232"/>
      <c r="E438" s="58"/>
      <c r="F438" s="265" t="s">
        <v>3461</v>
      </c>
      <c r="G438" s="32"/>
      <c r="H438" s="203" t="s">
        <v>3462</v>
      </c>
      <c r="I438" s="190" t="s">
        <v>2533</v>
      </c>
      <c r="J438" s="103" t="s">
        <v>3463</v>
      </c>
      <c r="K438" s="103"/>
      <c r="L438" s="107"/>
      <c r="M438" s="43" t="s">
        <v>136</v>
      </c>
      <c r="N438" s="54" t="s">
        <v>3464</v>
      </c>
      <c r="O438" s="54"/>
      <c r="P438" s="55"/>
      <c r="Q438" s="56"/>
      <c r="R438" s="113" t="s">
        <v>138</v>
      </c>
      <c r="S438" s="206" t="s">
        <v>41</v>
      </c>
      <c r="T438" s="119"/>
      <c r="U438" s="120"/>
      <c r="V438" s="120"/>
      <c r="W438" s="111" t="s">
        <v>3133</v>
      </c>
      <c r="X438" s="118" t="s">
        <v>3134</v>
      </c>
      <c r="Y438" s="30" t="s">
        <v>3236</v>
      </c>
      <c r="Z438" s="30"/>
      <c r="AA438" s="30"/>
      <c r="AB438" s="41"/>
      <c r="AC438" s="32"/>
      <c r="AD438" s="21"/>
      <c r="AE438" s="32"/>
      <c r="AF438" s="32"/>
      <c r="AG438" s="32"/>
      <c r="AH438" s="32"/>
      <c r="AI438" s="32"/>
      <c r="AJ438" s="32"/>
      <c r="AK438" s="32"/>
      <c r="AL438" s="32"/>
      <c r="AM438" s="32"/>
      <c r="AN438" s="32"/>
      <c r="AO438" s="32"/>
      <c r="AP438" s="32"/>
      <c r="AQ438" s="32"/>
    </row>
    <row r="439" spans="1:43" ht="15.75" customHeight="1">
      <c r="A439" s="458" t="s">
        <v>3465</v>
      </c>
      <c r="B439" s="95" t="s">
        <v>2270</v>
      </c>
      <c r="C439" s="248" t="s">
        <v>142</v>
      </c>
      <c r="D439" s="232"/>
      <c r="E439" s="58"/>
      <c r="F439" s="16" t="s">
        <v>3466</v>
      </c>
      <c r="G439" s="32" t="s">
        <v>3467</v>
      </c>
      <c r="H439" s="203" t="s">
        <v>3468</v>
      </c>
      <c r="I439" s="32" t="s">
        <v>2533</v>
      </c>
      <c r="J439" s="35"/>
      <c r="K439" s="82"/>
      <c r="L439" s="82" t="s">
        <v>3469</v>
      </c>
      <c r="M439" s="206" t="s">
        <v>3470</v>
      </c>
      <c r="N439" s="54" t="s">
        <v>3471</v>
      </c>
      <c r="O439" s="54"/>
      <c r="P439" s="55"/>
      <c r="Q439" s="56"/>
      <c r="R439" s="101" t="s">
        <v>40</v>
      </c>
      <c r="S439" s="77" t="s">
        <v>41</v>
      </c>
      <c r="T439" s="104"/>
      <c r="U439" s="105" t="s">
        <v>3458</v>
      </c>
      <c r="V439" s="105" t="s">
        <v>3459</v>
      </c>
      <c r="W439" s="111"/>
      <c r="X439" s="111"/>
      <c r="Y439" s="30" t="s">
        <v>3472</v>
      </c>
      <c r="Z439" s="30"/>
      <c r="AA439" s="30"/>
      <c r="AB439" s="41"/>
      <c r="AC439" s="32"/>
      <c r="AD439" s="21"/>
      <c r="AE439" s="32"/>
      <c r="AF439" s="32"/>
      <c r="AG439" s="32"/>
      <c r="AH439" s="32"/>
      <c r="AI439" s="32"/>
      <c r="AJ439" s="32"/>
      <c r="AK439" s="32"/>
      <c r="AL439" s="32"/>
      <c r="AM439" s="32"/>
      <c r="AN439" s="32"/>
      <c r="AO439" s="32"/>
      <c r="AP439" s="32"/>
      <c r="AQ439" s="32"/>
    </row>
    <row r="440" spans="1:43" ht="15.75" customHeight="1">
      <c r="A440" s="458" t="s">
        <v>3473</v>
      </c>
      <c r="B440" s="14" t="s">
        <v>429</v>
      </c>
      <c r="C440" s="247" t="s">
        <v>170</v>
      </c>
      <c r="D440" s="232"/>
      <c r="E440" s="58"/>
      <c r="F440" s="265" t="s">
        <v>3905</v>
      </c>
      <c r="G440" s="32"/>
      <c r="H440" s="203" t="s">
        <v>3474</v>
      </c>
      <c r="I440" s="32" t="s">
        <v>2533</v>
      </c>
      <c r="J440" s="82"/>
      <c r="K440" s="82"/>
      <c r="L440" s="82" t="s">
        <v>1643</v>
      </c>
      <c r="M440" s="206" t="s">
        <v>1813</v>
      </c>
      <c r="N440" s="54" t="s">
        <v>1935</v>
      </c>
      <c r="O440" s="394"/>
      <c r="P440" s="112"/>
      <c r="Q440" s="56"/>
      <c r="R440" s="96" t="s">
        <v>382</v>
      </c>
      <c r="S440" s="77" t="s">
        <v>41</v>
      </c>
      <c r="T440" s="21"/>
      <c r="U440" s="28"/>
      <c r="V440" s="28"/>
      <c r="W440" s="111" t="s">
        <v>3133</v>
      </c>
      <c r="X440" s="118" t="s">
        <v>3134</v>
      </c>
      <c r="Y440" s="30" t="s">
        <v>3236</v>
      </c>
      <c r="Z440" s="102"/>
      <c r="AA440" s="30"/>
      <c r="AB440" s="41"/>
      <c r="AC440" s="32" t="s">
        <v>2949</v>
      </c>
      <c r="AD440" s="32"/>
      <c r="AE440" s="32"/>
      <c r="AF440" s="32"/>
      <c r="AG440" s="32"/>
      <c r="AH440" s="32"/>
      <c r="AI440" s="32"/>
      <c r="AJ440" s="32"/>
      <c r="AK440" s="32"/>
      <c r="AL440" s="32"/>
      <c r="AM440" s="32"/>
      <c r="AN440" s="32"/>
      <c r="AO440" s="32"/>
      <c r="AP440" s="32"/>
      <c r="AQ440" s="32"/>
    </row>
    <row r="441" spans="1:43" ht="15.75" customHeight="1">
      <c r="A441" s="458" t="s">
        <v>3475</v>
      </c>
      <c r="B441" s="33" t="s">
        <v>429</v>
      </c>
      <c r="C441" s="268" t="s">
        <v>3906</v>
      </c>
      <c r="D441" s="232"/>
      <c r="E441" s="58"/>
      <c r="F441" s="265" t="s">
        <v>3476</v>
      </c>
      <c r="G441" s="32"/>
      <c r="H441" s="203" t="s">
        <v>3477</v>
      </c>
      <c r="I441" s="190" t="s">
        <v>2493</v>
      </c>
      <c r="J441" s="82"/>
      <c r="K441" s="82"/>
      <c r="L441" s="82"/>
      <c r="M441" s="135" t="s">
        <v>3478</v>
      </c>
      <c r="N441" s="134" t="s">
        <v>1230</v>
      </c>
      <c r="O441" s="397" t="s">
        <v>3479</v>
      </c>
      <c r="P441" s="59"/>
      <c r="Q441" s="56" t="s">
        <v>3480</v>
      </c>
      <c r="R441" s="32" t="s">
        <v>517</v>
      </c>
      <c r="S441" s="77" t="s">
        <v>41</v>
      </c>
      <c r="T441" s="119"/>
      <c r="U441" s="120"/>
      <c r="V441" s="120"/>
      <c r="W441" s="111" t="s">
        <v>3133</v>
      </c>
      <c r="X441" s="118" t="s">
        <v>3134</v>
      </c>
      <c r="Y441" s="30" t="s">
        <v>3481</v>
      </c>
      <c r="Z441" s="197"/>
      <c r="AA441" s="30" t="s">
        <v>3482</v>
      </c>
      <c r="AB441" s="31" t="s">
        <v>3483</v>
      </c>
      <c r="AC441" s="32"/>
      <c r="AD441" s="485" t="s">
        <v>4017</v>
      </c>
      <c r="AE441" s="32"/>
      <c r="AF441" s="32"/>
      <c r="AG441" s="32"/>
      <c r="AH441" s="32"/>
      <c r="AI441" s="32"/>
      <c r="AJ441" s="32"/>
      <c r="AK441" s="32"/>
      <c r="AL441" s="32"/>
      <c r="AM441" s="32"/>
      <c r="AN441" s="32"/>
      <c r="AO441" s="32"/>
      <c r="AP441" s="32"/>
      <c r="AQ441" s="32"/>
    </row>
    <row r="442" spans="1:43" ht="15.75" customHeight="1">
      <c r="A442" s="458" t="s">
        <v>3484</v>
      </c>
      <c r="B442" s="33" t="s">
        <v>429</v>
      </c>
      <c r="C442" s="252" t="s">
        <v>170</v>
      </c>
      <c r="D442" s="232"/>
      <c r="E442" s="58"/>
      <c r="F442" s="47" t="s">
        <v>3485</v>
      </c>
      <c r="G442" s="32" t="s">
        <v>3486</v>
      </c>
      <c r="H442" s="203" t="s">
        <v>3487</v>
      </c>
      <c r="I442" s="185" t="s">
        <v>3488</v>
      </c>
      <c r="J442" s="22"/>
      <c r="K442" s="22"/>
      <c r="L442" s="22"/>
      <c r="M442" s="135" t="s">
        <v>3489</v>
      </c>
      <c r="N442" s="73" t="s">
        <v>3490</v>
      </c>
      <c r="O442" s="73"/>
      <c r="P442" s="74" t="s">
        <v>3491</v>
      </c>
      <c r="Q442" s="91" t="s">
        <v>3492</v>
      </c>
      <c r="R442" s="113" t="s">
        <v>3299</v>
      </c>
      <c r="S442" s="113" t="s">
        <v>41</v>
      </c>
      <c r="T442" s="21"/>
      <c r="U442" s="28" t="s">
        <v>3133</v>
      </c>
      <c r="V442" s="28" t="s">
        <v>3492</v>
      </c>
      <c r="W442" s="111" t="s">
        <v>3133</v>
      </c>
      <c r="X442" s="111" t="s">
        <v>3492</v>
      </c>
      <c r="Y442" s="30" t="s">
        <v>3493</v>
      </c>
      <c r="Z442" s="30"/>
      <c r="AA442" s="30"/>
      <c r="AB442" s="41"/>
      <c r="AC442" s="32"/>
      <c r="AD442" s="485"/>
      <c r="AE442" s="32"/>
      <c r="AF442" s="32"/>
      <c r="AG442" s="32"/>
      <c r="AH442" s="32"/>
      <c r="AI442" s="32"/>
      <c r="AJ442" s="32"/>
      <c r="AK442" s="32"/>
      <c r="AL442" s="32"/>
      <c r="AM442" s="32"/>
      <c r="AN442" s="32"/>
      <c r="AO442" s="32"/>
      <c r="AP442" s="32"/>
      <c r="AQ442" s="32"/>
    </row>
    <row r="443" spans="1:43" ht="15.75" customHeight="1">
      <c r="A443" s="458" t="s">
        <v>3909</v>
      </c>
      <c r="B443" s="33" t="s">
        <v>429</v>
      </c>
      <c r="C443" s="252" t="s">
        <v>170</v>
      </c>
      <c r="D443" s="232"/>
      <c r="E443" s="58"/>
      <c r="F443" s="265" t="s">
        <v>3494</v>
      </c>
      <c r="G443" s="48" t="s">
        <v>3495</v>
      </c>
      <c r="H443" s="95" t="s">
        <v>3496</v>
      </c>
      <c r="I443" s="185" t="s">
        <v>2474</v>
      </c>
      <c r="J443" s="82"/>
      <c r="K443" s="82"/>
      <c r="L443" s="82"/>
      <c r="M443" s="135" t="s">
        <v>649</v>
      </c>
      <c r="N443" s="65" t="s">
        <v>3497</v>
      </c>
      <c r="O443" s="294"/>
      <c r="P443" s="124"/>
      <c r="Q443" s="26"/>
      <c r="R443" s="99" t="s">
        <v>1095</v>
      </c>
      <c r="S443" s="77" t="s">
        <v>41</v>
      </c>
      <c r="T443" s="21"/>
      <c r="U443" s="28"/>
      <c r="V443" s="28"/>
      <c r="W443" s="29" t="s">
        <v>3133</v>
      </c>
      <c r="X443" s="118" t="s">
        <v>3134</v>
      </c>
      <c r="Y443" s="30" t="s">
        <v>3498</v>
      </c>
      <c r="Z443" s="30"/>
      <c r="AA443" s="30"/>
      <c r="AB443" s="41"/>
      <c r="AC443" s="32"/>
      <c r="AD443" s="243"/>
      <c r="AE443" s="32"/>
      <c r="AF443" s="32"/>
      <c r="AG443" s="32"/>
      <c r="AH443" s="32"/>
      <c r="AI443" s="32"/>
      <c r="AJ443" s="32"/>
      <c r="AK443" s="32"/>
      <c r="AL443" s="32"/>
      <c r="AM443" s="32"/>
      <c r="AN443" s="32"/>
      <c r="AO443" s="32"/>
      <c r="AP443" s="32"/>
      <c r="AQ443" s="32"/>
    </row>
    <row r="444" spans="1:43" ht="15.75" customHeight="1">
      <c r="A444" s="458" t="s">
        <v>3499</v>
      </c>
      <c r="B444" s="33" t="s">
        <v>429</v>
      </c>
      <c r="C444" s="252" t="s">
        <v>170</v>
      </c>
      <c r="D444" s="232"/>
      <c r="E444" s="58"/>
      <c r="F444" s="16" t="s">
        <v>3500</v>
      </c>
      <c r="G444" s="32"/>
      <c r="H444" s="203" t="s">
        <v>3501</v>
      </c>
      <c r="I444" s="185" t="s">
        <v>2533</v>
      </c>
      <c r="J444" s="82"/>
      <c r="K444" s="82"/>
      <c r="L444" s="82"/>
      <c r="M444" s="135" t="s">
        <v>2947</v>
      </c>
      <c r="N444" s="38" t="s">
        <v>3502</v>
      </c>
      <c r="O444" s="38"/>
      <c r="P444" s="74" t="s">
        <v>3491</v>
      </c>
      <c r="Q444" s="26" t="s">
        <v>3492</v>
      </c>
      <c r="R444" s="33" t="s">
        <v>3503</v>
      </c>
      <c r="S444" s="77" t="s">
        <v>41</v>
      </c>
      <c r="T444" s="21"/>
      <c r="U444" s="28"/>
      <c r="V444" s="28"/>
      <c r="W444" s="111"/>
      <c r="X444" s="111"/>
      <c r="Y444" s="30"/>
      <c r="Z444" s="30"/>
      <c r="AA444" s="30"/>
      <c r="AB444" s="41"/>
      <c r="AC444" s="32"/>
      <c r="AD444" s="485"/>
      <c r="AE444" s="32"/>
      <c r="AF444" s="32"/>
      <c r="AG444" s="32"/>
      <c r="AH444" s="32"/>
      <c r="AI444" s="32"/>
      <c r="AJ444" s="32"/>
      <c r="AK444" s="32"/>
      <c r="AL444" s="32"/>
      <c r="AM444" s="32"/>
      <c r="AN444" s="32"/>
      <c r="AO444" s="32"/>
      <c r="AP444" s="32"/>
      <c r="AQ444" s="32"/>
    </row>
    <row r="445" spans="1:43" ht="15.75" customHeight="1">
      <c r="A445" s="458" t="s">
        <v>3504</v>
      </c>
      <c r="B445" s="33" t="s">
        <v>429</v>
      </c>
      <c r="C445" s="248" t="s">
        <v>142</v>
      </c>
      <c r="D445" s="244"/>
      <c r="E445" s="188"/>
      <c r="F445" s="189" t="s">
        <v>3505</v>
      </c>
      <c r="G445" s="184" t="s">
        <v>3506</v>
      </c>
      <c r="H445" s="48" t="s">
        <v>3507</v>
      </c>
      <c r="I445" s="32" t="s">
        <v>2533</v>
      </c>
      <c r="J445" s="98"/>
      <c r="K445" s="103"/>
      <c r="L445" s="107" t="s">
        <v>3508</v>
      </c>
      <c r="M445" s="206" t="s">
        <v>475</v>
      </c>
      <c r="N445" s="38" t="s">
        <v>3509</v>
      </c>
      <c r="O445" s="38"/>
      <c r="P445" s="25"/>
      <c r="Q445" s="26"/>
      <c r="R445" s="101" t="s">
        <v>40</v>
      </c>
      <c r="S445" s="77" t="s">
        <v>41</v>
      </c>
      <c r="T445" s="21"/>
      <c r="U445" s="28" t="s">
        <v>3458</v>
      </c>
      <c r="V445" s="28" t="s">
        <v>3459</v>
      </c>
      <c r="W445" s="29" t="s">
        <v>3133</v>
      </c>
      <c r="X445" s="118" t="s">
        <v>3134</v>
      </c>
      <c r="Y445" s="30" t="s">
        <v>3510</v>
      </c>
      <c r="Z445" s="30"/>
      <c r="AA445" s="30"/>
      <c r="AB445" s="31" t="s">
        <v>3511</v>
      </c>
      <c r="AC445" s="32"/>
      <c r="AD445" s="243"/>
      <c r="AE445" s="32"/>
      <c r="AF445" s="32"/>
      <c r="AG445" s="32"/>
      <c r="AH445" s="32"/>
      <c r="AI445" s="32"/>
      <c r="AJ445" s="32"/>
      <c r="AK445" s="32"/>
      <c r="AL445" s="32"/>
      <c r="AM445" s="32"/>
      <c r="AN445" s="32"/>
      <c r="AO445" s="32"/>
      <c r="AP445" s="32"/>
      <c r="AQ445" s="32"/>
    </row>
    <row r="446" spans="1:43" ht="15.75" customHeight="1">
      <c r="A446" s="458" t="s">
        <v>3512</v>
      </c>
      <c r="B446" s="33" t="s">
        <v>429</v>
      </c>
      <c r="C446" s="248" t="s">
        <v>142</v>
      </c>
      <c r="D446" s="244"/>
      <c r="E446" s="188"/>
      <c r="F446" s="189" t="s">
        <v>3513</v>
      </c>
      <c r="G446" s="184" t="s">
        <v>3514</v>
      </c>
      <c r="H446" s="48" t="s">
        <v>3515</v>
      </c>
      <c r="I446" s="32" t="s">
        <v>2533</v>
      </c>
      <c r="J446" s="35"/>
      <c r="K446" s="107"/>
      <c r="L446" s="107" t="s">
        <v>3516</v>
      </c>
      <c r="M446" s="206" t="s">
        <v>475</v>
      </c>
      <c r="N446" s="54" t="s">
        <v>3517</v>
      </c>
      <c r="O446" s="54"/>
      <c r="P446" s="55"/>
      <c r="Q446" s="56"/>
      <c r="R446" s="101" t="s">
        <v>40</v>
      </c>
      <c r="S446" s="77" t="s">
        <v>41</v>
      </c>
      <c r="T446" s="21"/>
      <c r="U446" s="28" t="s">
        <v>3458</v>
      </c>
      <c r="V446" s="120" t="s">
        <v>3459</v>
      </c>
      <c r="W446" s="111" t="s">
        <v>3133</v>
      </c>
      <c r="X446" s="118" t="s">
        <v>3134</v>
      </c>
      <c r="Y446" s="30" t="s">
        <v>3518</v>
      </c>
      <c r="Z446" s="30"/>
      <c r="AA446" s="30"/>
      <c r="AB446" s="41" t="s">
        <v>3519</v>
      </c>
      <c r="AC446" s="32"/>
      <c r="AD446" s="486"/>
      <c r="AE446" s="32"/>
      <c r="AF446" s="32"/>
      <c r="AG446" s="32"/>
      <c r="AH446" s="32"/>
      <c r="AI446" s="32"/>
      <c r="AJ446" s="32"/>
      <c r="AK446" s="32"/>
      <c r="AL446" s="32"/>
      <c r="AM446" s="32"/>
      <c r="AN446" s="32"/>
      <c r="AO446" s="32"/>
      <c r="AP446" s="32"/>
      <c r="AQ446" s="32"/>
    </row>
    <row r="447" spans="1:43" ht="15.75" customHeight="1">
      <c r="A447" s="458" t="s">
        <v>3910</v>
      </c>
      <c r="B447" s="33" t="s">
        <v>429</v>
      </c>
      <c r="C447" s="252" t="s">
        <v>170</v>
      </c>
      <c r="D447" s="232"/>
      <c r="E447" s="58"/>
      <c r="F447" s="47" t="s">
        <v>3520</v>
      </c>
      <c r="G447" s="32"/>
      <c r="H447" s="203" t="s">
        <v>3521</v>
      </c>
      <c r="I447" s="190" t="s">
        <v>3522</v>
      </c>
      <c r="J447" s="22" t="s">
        <v>3523</v>
      </c>
      <c r="K447" s="22"/>
      <c r="L447" s="22"/>
      <c r="M447" s="43" t="s">
        <v>136</v>
      </c>
      <c r="N447" s="54" t="s">
        <v>2261</v>
      </c>
      <c r="O447" s="54"/>
      <c r="P447" s="55"/>
      <c r="Q447" s="56"/>
      <c r="R447" s="36" t="s">
        <v>138</v>
      </c>
      <c r="S447" s="77" t="s">
        <v>41</v>
      </c>
      <c r="T447" s="119"/>
      <c r="U447" s="120"/>
      <c r="V447" s="120"/>
      <c r="W447" s="111" t="s">
        <v>3133</v>
      </c>
      <c r="X447" s="118" t="s">
        <v>3134</v>
      </c>
      <c r="Y447" s="30" t="s">
        <v>3524</v>
      </c>
      <c r="Z447" s="30"/>
      <c r="AA447" s="30"/>
      <c r="AB447" s="41"/>
      <c r="AC447" s="32"/>
      <c r="AD447" s="21"/>
      <c r="AE447" s="32"/>
      <c r="AF447" s="32"/>
      <c r="AG447" s="32"/>
      <c r="AH447" s="32"/>
      <c r="AI447" s="32"/>
      <c r="AJ447" s="32"/>
      <c r="AK447" s="32"/>
      <c r="AL447" s="32"/>
      <c r="AM447" s="32"/>
      <c r="AN447" s="32"/>
      <c r="AO447" s="32"/>
      <c r="AP447" s="32"/>
      <c r="AQ447" s="32"/>
    </row>
    <row r="448" spans="1:43" ht="15.75" customHeight="1">
      <c r="A448" s="458" t="s">
        <v>3911</v>
      </c>
      <c r="B448" s="33" t="s">
        <v>429</v>
      </c>
      <c r="C448" s="247" t="s">
        <v>170</v>
      </c>
      <c r="D448" s="232"/>
      <c r="E448" s="58"/>
      <c r="F448" s="265" t="s">
        <v>3525</v>
      </c>
      <c r="G448" s="32"/>
      <c r="H448" s="203" t="s">
        <v>3526</v>
      </c>
      <c r="I448" s="32" t="s">
        <v>2114</v>
      </c>
      <c r="J448" s="82" t="s">
        <v>3527</v>
      </c>
      <c r="K448" s="82"/>
      <c r="L448" s="82"/>
      <c r="M448" s="43" t="s">
        <v>136</v>
      </c>
      <c r="N448" s="54" t="s">
        <v>3528</v>
      </c>
      <c r="O448" s="54"/>
      <c r="P448" s="55"/>
      <c r="Q448" s="56"/>
      <c r="R448" s="36" t="s">
        <v>138</v>
      </c>
      <c r="S448" s="77" t="s">
        <v>41</v>
      </c>
      <c r="T448" s="119"/>
      <c r="U448" s="120"/>
      <c r="V448" s="120"/>
      <c r="W448" s="111"/>
      <c r="X448" s="111"/>
      <c r="Y448" s="30"/>
      <c r="Z448" s="30"/>
      <c r="AA448" s="30"/>
      <c r="AB448" s="41"/>
      <c r="AC448" s="32"/>
      <c r="AD448" s="21"/>
      <c r="AE448" s="32"/>
      <c r="AF448" s="32"/>
      <c r="AG448" s="32"/>
      <c r="AH448" s="32"/>
      <c r="AI448" s="32"/>
      <c r="AJ448" s="32"/>
      <c r="AK448" s="32"/>
      <c r="AL448" s="32"/>
      <c r="AM448" s="32"/>
      <c r="AN448" s="32"/>
      <c r="AO448" s="32"/>
      <c r="AP448" s="32"/>
      <c r="AQ448" s="32"/>
    </row>
    <row r="449" spans="1:43" ht="15.75" customHeight="1">
      <c r="A449" s="458" t="s">
        <v>3529</v>
      </c>
      <c r="B449" s="33" t="s">
        <v>429</v>
      </c>
      <c r="C449" s="247" t="s">
        <v>170</v>
      </c>
      <c r="D449" s="232"/>
      <c r="E449" s="58"/>
      <c r="F449" s="47" t="s">
        <v>3530</v>
      </c>
      <c r="G449" s="32"/>
      <c r="H449" s="203" t="s">
        <v>3531</v>
      </c>
      <c r="I449" s="190" t="s">
        <v>2533</v>
      </c>
      <c r="J449" s="98"/>
      <c r="K449" s="103"/>
      <c r="L449" s="103" t="s">
        <v>3532</v>
      </c>
      <c r="M449" s="135" t="s">
        <v>3533</v>
      </c>
      <c r="N449" s="54" t="s">
        <v>3534</v>
      </c>
      <c r="O449" s="54"/>
      <c r="P449" s="55"/>
      <c r="Q449" s="56"/>
      <c r="R449" s="148" t="s">
        <v>1053</v>
      </c>
      <c r="S449" s="32" t="s">
        <v>41</v>
      </c>
      <c r="T449" s="119"/>
      <c r="U449" s="120"/>
      <c r="V449" s="120"/>
      <c r="W449" s="111" t="s">
        <v>3133</v>
      </c>
      <c r="X449" s="118" t="s">
        <v>3134</v>
      </c>
      <c r="Y449" s="30" t="s">
        <v>3228</v>
      </c>
      <c r="Z449" s="30"/>
      <c r="AA449" s="30"/>
      <c r="AB449" s="215"/>
      <c r="AC449" s="32"/>
      <c r="AD449" s="21"/>
      <c r="AE449" s="32"/>
      <c r="AF449" s="32"/>
      <c r="AG449" s="32"/>
      <c r="AH449" s="32"/>
      <c r="AI449" s="32"/>
      <c r="AJ449" s="32"/>
      <c r="AK449" s="32"/>
      <c r="AL449" s="32"/>
      <c r="AM449" s="32"/>
      <c r="AN449" s="32"/>
      <c r="AO449" s="32"/>
      <c r="AP449" s="32"/>
      <c r="AQ449" s="32"/>
    </row>
    <row r="450" spans="1:43" ht="15.75" customHeight="1">
      <c r="A450" s="458" t="s">
        <v>3535</v>
      </c>
      <c r="B450" s="33" t="s">
        <v>429</v>
      </c>
      <c r="C450" s="252" t="s">
        <v>170</v>
      </c>
      <c r="D450" s="232"/>
      <c r="E450" s="58"/>
      <c r="F450" s="265" t="s">
        <v>3536</v>
      </c>
      <c r="G450" s="32"/>
      <c r="H450" s="184" t="s">
        <v>3537</v>
      </c>
      <c r="I450" s="190" t="s">
        <v>2533</v>
      </c>
      <c r="J450" s="98"/>
      <c r="K450" s="103"/>
      <c r="L450" s="107" t="s">
        <v>3532</v>
      </c>
      <c r="M450" s="135" t="s">
        <v>3533</v>
      </c>
      <c r="N450" s="73" t="s">
        <v>3538</v>
      </c>
      <c r="O450" s="73"/>
      <c r="P450" s="74"/>
      <c r="Q450" s="75"/>
      <c r="R450" s="148" t="s">
        <v>1053</v>
      </c>
      <c r="S450" s="32" t="s">
        <v>41</v>
      </c>
      <c r="T450" s="119"/>
      <c r="U450" s="120"/>
      <c r="V450" s="120"/>
      <c r="W450" s="111" t="s">
        <v>3133</v>
      </c>
      <c r="X450" s="118" t="s">
        <v>3134</v>
      </c>
      <c r="Y450" s="30" t="s">
        <v>3170</v>
      </c>
      <c r="Z450" s="30"/>
      <c r="AA450" s="30"/>
      <c r="AB450" s="215"/>
      <c r="AC450" s="32"/>
      <c r="AD450" s="21"/>
      <c r="AE450" s="32"/>
      <c r="AF450" s="32"/>
      <c r="AG450" s="32"/>
      <c r="AH450" s="32"/>
      <c r="AI450" s="32"/>
      <c r="AJ450" s="32"/>
      <c r="AK450" s="32"/>
      <c r="AL450" s="32"/>
      <c r="AM450" s="32"/>
      <c r="AN450" s="32"/>
      <c r="AO450" s="32"/>
      <c r="AP450" s="32"/>
      <c r="AQ450" s="32"/>
    </row>
    <row r="451" spans="1:43" ht="15.75" customHeight="1">
      <c r="A451" s="458" t="s">
        <v>3539</v>
      </c>
      <c r="B451" s="33" t="s">
        <v>429</v>
      </c>
      <c r="C451" s="248" t="s">
        <v>142</v>
      </c>
      <c r="D451" s="232"/>
      <c r="E451" s="58"/>
      <c r="F451" s="265" t="s">
        <v>3540</v>
      </c>
      <c r="G451" s="32" t="s">
        <v>3541</v>
      </c>
      <c r="H451" s="203" t="s">
        <v>3542</v>
      </c>
      <c r="I451" s="190" t="s">
        <v>2533</v>
      </c>
      <c r="J451" s="35"/>
      <c r="K451" s="107"/>
      <c r="L451" s="107" t="s">
        <v>3543</v>
      </c>
      <c r="M451" s="77" t="s">
        <v>475</v>
      </c>
      <c r="N451" s="38" t="s">
        <v>3457</v>
      </c>
      <c r="O451" s="38"/>
      <c r="P451" s="25"/>
      <c r="Q451" s="26"/>
      <c r="R451" s="101" t="s">
        <v>40</v>
      </c>
      <c r="S451" s="32" t="s">
        <v>41</v>
      </c>
      <c r="T451" s="21"/>
      <c r="U451" s="28" t="s">
        <v>3458</v>
      </c>
      <c r="V451" s="120" t="s">
        <v>3459</v>
      </c>
      <c r="W451" s="111" t="s">
        <v>3235</v>
      </c>
      <c r="X451" s="118" t="s">
        <v>3134</v>
      </c>
      <c r="Y451" s="30" t="s">
        <v>3544</v>
      </c>
      <c r="Z451" s="30"/>
      <c r="AA451" s="30"/>
      <c r="AB451" s="216" t="s">
        <v>3519</v>
      </c>
      <c r="AC451" s="32"/>
      <c r="AD451" s="21"/>
      <c r="AE451" s="32"/>
      <c r="AF451" s="32"/>
      <c r="AG451" s="32"/>
      <c r="AH451" s="32"/>
      <c r="AI451" s="32"/>
      <c r="AJ451" s="32"/>
      <c r="AK451" s="32"/>
      <c r="AL451" s="32"/>
      <c r="AM451" s="32"/>
      <c r="AN451" s="32"/>
      <c r="AO451" s="32"/>
      <c r="AP451" s="32"/>
      <c r="AQ451" s="32"/>
    </row>
    <row r="452" spans="1:43" ht="15.75" customHeight="1">
      <c r="A452" s="458" t="s">
        <v>3545</v>
      </c>
      <c r="B452" s="33" t="s">
        <v>429</v>
      </c>
      <c r="C452" s="247" t="s">
        <v>170</v>
      </c>
      <c r="D452" s="232"/>
      <c r="E452" s="58"/>
      <c r="F452" s="47" t="s">
        <v>3546</v>
      </c>
      <c r="G452" s="32"/>
      <c r="H452" s="203" t="s">
        <v>3547</v>
      </c>
      <c r="I452" s="190" t="s">
        <v>2533</v>
      </c>
      <c r="J452" s="82"/>
      <c r="K452" s="82"/>
      <c r="L452" s="82"/>
      <c r="M452" s="95" t="s">
        <v>3548</v>
      </c>
      <c r="N452" s="89" t="s">
        <v>3549</v>
      </c>
      <c r="O452" s="89"/>
      <c r="P452" s="90"/>
      <c r="Q452" s="91"/>
      <c r="R452" s="115" t="s">
        <v>382</v>
      </c>
      <c r="S452" s="77" t="s">
        <v>41</v>
      </c>
      <c r="T452" s="119"/>
      <c r="U452" s="120"/>
      <c r="V452" s="120"/>
      <c r="W452" s="111"/>
      <c r="X452" s="111"/>
      <c r="Y452" s="30"/>
      <c r="Z452" s="30"/>
      <c r="AA452" s="30"/>
      <c r="AB452" s="41"/>
      <c r="AC452" s="32"/>
      <c r="AD452" s="21"/>
      <c r="AE452" s="32"/>
      <c r="AF452" s="32"/>
      <c r="AG452" s="32"/>
      <c r="AH452" s="32"/>
      <c r="AI452" s="32"/>
      <c r="AJ452" s="32"/>
      <c r="AK452" s="32"/>
      <c r="AL452" s="32"/>
      <c r="AM452" s="32"/>
      <c r="AN452" s="32"/>
      <c r="AO452" s="32"/>
      <c r="AP452" s="32"/>
      <c r="AQ452" s="32"/>
    </row>
    <row r="453" spans="1:43" ht="15.75" customHeight="1">
      <c r="A453" s="458" t="s">
        <v>3550</v>
      </c>
      <c r="B453" s="33" t="s">
        <v>429</v>
      </c>
      <c r="C453" s="247" t="s">
        <v>170</v>
      </c>
      <c r="D453" s="232"/>
      <c r="E453" s="58"/>
      <c r="F453" s="265" t="s">
        <v>3551</v>
      </c>
      <c r="G453" s="32" t="s">
        <v>3552</v>
      </c>
      <c r="H453" s="48" t="s">
        <v>3553</v>
      </c>
      <c r="I453" s="185" t="s">
        <v>3554</v>
      </c>
      <c r="J453" s="22"/>
      <c r="K453" s="22"/>
      <c r="L453" s="22"/>
      <c r="M453" s="135" t="s">
        <v>796</v>
      </c>
      <c r="N453" s="134" t="s">
        <v>3555</v>
      </c>
      <c r="O453" s="54" t="s">
        <v>3556</v>
      </c>
      <c r="P453" s="55"/>
      <c r="Q453" s="56" t="s">
        <v>3557</v>
      </c>
      <c r="R453" s="99" t="s">
        <v>1095</v>
      </c>
      <c r="S453" s="77" t="s">
        <v>41</v>
      </c>
      <c r="T453" s="119" t="s">
        <v>3558</v>
      </c>
      <c r="U453" s="120"/>
      <c r="V453" s="120"/>
      <c r="W453" s="111"/>
      <c r="X453" s="111"/>
      <c r="Y453" s="30"/>
      <c r="Z453" s="30"/>
      <c r="AA453" s="30"/>
      <c r="AB453" s="41"/>
      <c r="AC453" s="32"/>
      <c r="AD453" s="21"/>
      <c r="AE453" s="32"/>
      <c r="AF453" s="32"/>
      <c r="AG453" s="32"/>
      <c r="AH453" s="32"/>
      <c r="AI453" s="32"/>
      <c r="AJ453" s="32"/>
      <c r="AK453" s="32"/>
      <c r="AL453" s="32"/>
      <c r="AM453" s="32"/>
      <c r="AN453" s="32"/>
      <c r="AO453" s="32"/>
      <c r="AP453" s="32"/>
      <c r="AQ453" s="32"/>
    </row>
    <row r="454" spans="1:43" ht="15.75" customHeight="1">
      <c r="A454" s="458" t="s">
        <v>3559</v>
      </c>
      <c r="B454" s="33" t="s">
        <v>429</v>
      </c>
      <c r="C454" s="247" t="s">
        <v>170</v>
      </c>
      <c r="D454" s="232"/>
      <c r="E454" s="58"/>
      <c r="F454" s="265" t="s">
        <v>3560</v>
      </c>
      <c r="G454" s="32" t="s">
        <v>3561</v>
      </c>
      <c r="H454" s="95" t="s">
        <v>3562</v>
      </c>
      <c r="I454" s="185" t="s">
        <v>3554</v>
      </c>
      <c r="J454" s="22"/>
      <c r="K454" s="82"/>
      <c r="L454" s="82"/>
      <c r="M454" s="135" t="s">
        <v>796</v>
      </c>
      <c r="N454" s="134" t="s">
        <v>3563</v>
      </c>
      <c r="O454" s="54"/>
      <c r="P454" s="55"/>
      <c r="Q454" s="56"/>
      <c r="R454" s="99" t="s">
        <v>1095</v>
      </c>
      <c r="S454" s="77" t="s">
        <v>41</v>
      </c>
      <c r="T454" s="217"/>
      <c r="U454" s="218"/>
      <c r="V454" s="218"/>
      <c r="W454" s="111" t="s">
        <v>3133</v>
      </c>
      <c r="X454" s="118" t="s">
        <v>3134</v>
      </c>
      <c r="Y454" s="30" t="s">
        <v>3368</v>
      </c>
      <c r="Z454" s="30"/>
      <c r="AA454" s="30"/>
      <c r="AB454" s="41"/>
      <c r="AC454" s="21"/>
      <c r="AD454" s="21"/>
      <c r="AE454" s="21"/>
      <c r="AF454" s="21"/>
      <c r="AG454" s="21"/>
      <c r="AH454" s="21"/>
      <c r="AI454" s="21"/>
      <c r="AJ454" s="21"/>
      <c r="AK454" s="21"/>
      <c r="AL454" s="21"/>
      <c r="AM454" s="21"/>
      <c r="AN454" s="21"/>
      <c r="AO454" s="21"/>
      <c r="AP454" s="21"/>
      <c r="AQ454" s="21"/>
    </row>
    <row r="455" spans="1:43" ht="15.75" customHeight="1">
      <c r="A455" s="458" t="s">
        <v>3912</v>
      </c>
      <c r="B455" s="95" t="s">
        <v>429</v>
      </c>
      <c r="C455" s="250" t="s">
        <v>170</v>
      </c>
      <c r="D455" s="232"/>
      <c r="E455" s="58"/>
      <c r="F455" s="265" t="s">
        <v>3564</v>
      </c>
      <c r="G455" s="32"/>
      <c r="H455" s="190" t="s">
        <v>3913</v>
      </c>
      <c r="I455" s="32" t="s">
        <v>3565</v>
      </c>
      <c r="J455" s="22"/>
      <c r="K455" s="82"/>
      <c r="L455" s="82"/>
      <c r="M455" s="113" t="s">
        <v>183</v>
      </c>
      <c r="N455" s="38" t="s">
        <v>3566</v>
      </c>
      <c r="O455" s="38"/>
      <c r="P455" s="25"/>
      <c r="Q455" s="56"/>
      <c r="R455" s="101" t="s">
        <v>40</v>
      </c>
      <c r="S455" s="77" t="s">
        <v>41</v>
      </c>
      <c r="T455" s="119"/>
      <c r="U455" s="120"/>
      <c r="V455" s="120"/>
      <c r="W455" s="111" t="s">
        <v>3133</v>
      </c>
      <c r="X455" s="118" t="s">
        <v>3134</v>
      </c>
      <c r="Y455" s="30" t="s">
        <v>3567</v>
      </c>
      <c r="Z455" s="30"/>
      <c r="AA455" s="30"/>
      <c r="AB455" s="46" t="s">
        <v>3568</v>
      </c>
      <c r="AC455" s="32"/>
      <c r="AD455" s="21"/>
      <c r="AE455" s="32"/>
      <c r="AF455" s="32"/>
      <c r="AG455" s="32"/>
      <c r="AH455" s="32"/>
      <c r="AI455" s="32"/>
      <c r="AJ455" s="32"/>
      <c r="AK455" s="32"/>
      <c r="AL455" s="32"/>
      <c r="AM455" s="32"/>
      <c r="AN455" s="32"/>
      <c r="AO455" s="32"/>
      <c r="AP455" s="32"/>
      <c r="AQ455" s="32"/>
    </row>
    <row r="456" spans="1:43" ht="15.75" customHeight="1">
      <c r="A456" s="458" t="s">
        <v>3569</v>
      </c>
      <c r="B456" s="95" t="s">
        <v>2270</v>
      </c>
      <c r="C456" s="247" t="s">
        <v>170</v>
      </c>
      <c r="D456" s="232"/>
      <c r="E456" s="58"/>
      <c r="F456" s="265" t="s">
        <v>3570</v>
      </c>
      <c r="G456" s="32" t="s">
        <v>3571</v>
      </c>
      <c r="H456" s="33" t="s">
        <v>3572</v>
      </c>
      <c r="I456" s="185" t="s">
        <v>3025</v>
      </c>
      <c r="J456" s="22" t="s">
        <v>3573</v>
      </c>
      <c r="K456" s="22"/>
      <c r="L456" s="22"/>
      <c r="M456" s="113" t="s">
        <v>3574</v>
      </c>
      <c r="N456" s="65" t="s">
        <v>3575</v>
      </c>
      <c r="O456" s="38" t="s">
        <v>3556</v>
      </c>
      <c r="P456" s="25"/>
      <c r="Q456" s="56" t="s">
        <v>3557</v>
      </c>
      <c r="R456" s="94" t="s">
        <v>1095</v>
      </c>
      <c r="S456" s="77" t="s">
        <v>41</v>
      </c>
      <c r="T456" s="21"/>
      <c r="U456" s="28"/>
      <c r="V456" s="28"/>
      <c r="W456" s="111" t="s">
        <v>3133</v>
      </c>
      <c r="X456" s="118" t="s">
        <v>3134</v>
      </c>
      <c r="Y456" s="30" t="s">
        <v>3445</v>
      </c>
      <c r="Z456" s="30"/>
      <c r="AA456" s="30"/>
      <c r="AB456" s="41"/>
      <c r="AC456" s="32"/>
      <c r="AD456" s="32"/>
      <c r="AE456" s="32"/>
      <c r="AF456" s="32"/>
      <c r="AG456" s="32"/>
      <c r="AH456" s="32"/>
      <c r="AI456" s="32"/>
      <c r="AJ456" s="32"/>
      <c r="AK456" s="32"/>
      <c r="AL456" s="32"/>
      <c r="AM456" s="32"/>
      <c r="AN456" s="32"/>
      <c r="AO456" s="32"/>
      <c r="AP456" s="32"/>
      <c r="AQ456" s="32"/>
    </row>
    <row r="457" spans="1:43" ht="15.75" customHeight="1">
      <c r="A457" s="458" t="s">
        <v>3914</v>
      </c>
      <c r="B457" s="32" t="s">
        <v>429</v>
      </c>
      <c r="C457" s="247" t="s">
        <v>170</v>
      </c>
      <c r="D457" s="232"/>
      <c r="E457" s="58"/>
      <c r="F457" s="265" t="s">
        <v>3576</v>
      </c>
      <c r="G457" s="32"/>
      <c r="H457" s="190" t="s">
        <v>3577</v>
      </c>
      <c r="I457" s="190" t="s">
        <v>2493</v>
      </c>
      <c r="J457" s="22"/>
      <c r="K457" s="22"/>
      <c r="L457" s="22" t="s">
        <v>888</v>
      </c>
      <c r="M457" s="113" t="s">
        <v>796</v>
      </c>
      <c r="N457" s="38" t="s">
        <v>3578</v>
      </c>
      <c r="O457" s="38" t="s">
        <v>891</v>
      </c>
      <c r="P457" s="25"/>
      <c r="Q457" s="56" t="s">
        <v>3579</v>
      </c>
      <c r="R457" s="39" t="s">
        <v>517</v>
      </c>
      <c r="S457" s="77" t="s">
        <v>41</v>
      </c>
      <c r="T457" s="21"/>
      <c r="U457" s="28"/>
      <c r="V457" s="28"/>
      <c r="W457" s="111" t="s">
        <v>3133</v>
      </c>
      <c r="X457" s="118" t="s">
        <v>3134</v>
      </c>
      <c r="Y457" s="30" t="s">
        <v>3228</v>
      </c>
      <c r="Z457" s="30" t="s">
        <v>3580</v>
      </c>
      <c r="AA457" s="30" t="s">
        <v>3581</v>
      </c>
      <c r="AB457" s="41"/>
      <c r="AC457" s="32"/>
      <c r="AD457" s="32"/>
      <c r="AE457" s="32"/>
      <c r="AF457" s="32"/>
      <c r="AG457" s="32"/>
      <c r="AH457" s="32"/>
      <c r="AI457" s="32"/>
      <c r="AJ457" s="32"/>
      <c r="AK457" s="32"/>
      <c r="AL457" s="32"/>
      <c r="AM457" s="32"/>
      <c r="AN457" s="32"/>
      <c r="AO457" s="32"/>
      <c r="AP457" s="32"/>
      <c r="AQ457" s="32"/>
    </row>
    <row r="458" spans="1:43" ht="15.75" customHeight="1">
      <c r="A458" s="458" t="s">
        <v>3915</v>
      </c>
      <c r="B458" s="95" t="s">
        <v>2270</v>
      </c>
      <c r="C458" s="247" t="s">
        <v>170</v>
      </c>
      <c r="D458" s="232"/>
      <c r="E458" s="58"/>
      <c r="F458" s="16" t="s">
        <v>3582</v>
      </c>
      <c r="G458" s="32"/>
      <c r="H458" s="32" t="s">
        <v>3583</v>
      </c>
      <c r="I458" s="32" t="s">
        <v>2493</v>
      </c>
      <c r="J458" s="22"/>
      <c r="K458" s="22"/>
      <c r="L458" s="22" t="s">
        <v>888</v>
      </c>
      <c r="M458" s="135" t="s">
        <v>649</v>
      </c>
      <c r="N458" s="65" t="s">
        <v>3584</v>
      </c>
      <c r="O458" s="65" t="s">
        <v>891</v>
      </c>
      <c r="P458" s="25"/>
      <c r="Q458" s="56" t="s">
        <v>3579</v>
      </c>
      <c r="R458" s="39" t="s">
        <v>517</v>
      </c>
      <c r="S458" s="77" t="s">
        <v>41</v>
      </c>
      <c r="T458" s="21"/>
      <c r="U458" s="28"/>
      <c r="V458" s="28"/>
      <c r="W458" s="111" t="s">
        <v>3235</v>
      </c>
      <c r="X458" s="118" t="s">
        <v>3134</v>
      </c>
      <c r="Y458" s="30" t="s">
        <v>3236</v>
      </c>
      <c r="Z458" s="30" t="s">
        <v>3585</v>
      </c>
      <c r="AA458" s="30" t="s">
        <v>3586</v>
      </c>
      <c r="AB458" s="41"/>
      <c r="AC458" s="32"/>
      <c r="AD458" s="32"/>
      <c r="AE458" s="32"/>
      <c r="AF458" s="32"/>
      <c r="AG458" s="32"/>
      <c r="AH458" s="32"/>
      <c r="AI458" s="32"/>
      <c r="AJ458" s="32"/>
      <c r="AK458" s="32"/>
      <c r="AL458" s="32"/>
      <c r="AM458" s="32"/>
      <c r="AN458" s="32"/>
      <c r="AO458" s="32"/>
      <c r="AP458" s="32"/>
      <c r="AQ458" s="32"/>
    </row>
    <row r="459" spans="1:43" ht="15.75" customHeight="1">
      <c r="A459" s="458" t="s">
        <v>3916</v>
      </c>
      <c r="B459" s="95" t="s">
        <v>2270</v>
      </c>
      <c r="C459" s="247" t="s">
        <v>170</v>
      </c>
      <c r="D459" s="233"/>
      <c r="E459" s="67"/>
      <c r="F459" s="16" t="s">
        <v>3587</v>
      </c>
      <c r="G459" s="32" t="s">
        <v>3588</v>
      </c>
      <c r="H459" s="32" t="s">
        <v>3589</v>
      </c>
      <c r="I459" s="185" t="s">
        <v>3590</v>
      </c>
      <c r="J459" s="22"/>
      <c r="K459" s="22"/>
      <c r="L459" s="22"/>
      <c r="M459" s="113" t="s">
        <v>2467</v>
      </c>
      <c r="N459" s="89" t="s">
        <v>3591</v>
      </c>
      <c r="O459" s="89"/>
      <c r="P459" s="74" t="s">
        <v>3491</v>
      </c>
      <c r="Q459" s="56" t="s">
        <v>3674</v>
      </c>
      <c r="R459" s="96" t="s">
        <v>382</v>
      </c>
      <c r="S459" s="77" t="s">
        <v>41</v>
      </c>
      <c r="T459" s="21"/>
      <c r="U459" s="28"/>
      <c r="V459" s="28"/>
      <c r="W459" s="111"/>
      <c r="X459" s="111"/>
      <c r="Y459" s="30"/>
      <c r="Z459" s="30"/>
      <c r="AA459" s="30"/>
      <c r="AB459" s="41"/>
      <c r="AC459" s="47" t="s">
        <v>1024</v>
      </c>
      <c r="AD459" s="32"/>
      <c r="AE459" s="32"/>
      <c r="AF459" s="32"/>
      <c r="AG459" s="32"/>
      <c r="AH459" s="32"/>
      <c r="AI459" s="32"/>
      <c r="AJ459" s="32"/>
      <c r="AK459" s="32"/>
      <c r="AL459" s="32"/>
      <c r="AM459" s="32"/>
      <c r="AN459" s="32"/>
      <c r="AO459" s="32"/>
      <c r="AP459" s="32"/>
      <c r="AQ459" s="32"/>
    </row>
    <row r="460" spans="1:43" ht="15.75" customHeight="1">
      <c r="A460" s="458" t="s">
        <v>3592</v>
      </c>
      <c r="B460" s="95" t="s">
        <v>2270</v>
      </c>
      <c r="C460" s="250" t="s">
        <v>170</v>
      </c>
      <c r="D460" s="232"/>
      <c r="E460" s="58"/>
      <c r="F460" s="265" t="s">
        <v>3593</v>
      </c>
      <c r="G460" s="32" t="s">
        <v>3594</v>
      </c>
      <c r="H460" s="203" t="s">
        <v>3595</v>
      </c>
      <c r="I460" s="32" t="s">
        <v>3596</v>
      </c>
      <c r="J460" s="22"/>
      <c r="K460" s="93" t="s">
        <v>3597</v>
      </c>
      <c r="L460" s="82"/>
      <c r="M460" s="135" t="s">
        <v>649</v>
      </c>
      <c r="N460" s="134" t="s">
        <v>3598</v>
      </c>
      <c r="O460" s="38" t="s">
        <v>3556</v>
      </c>
      <c r="P460" s="55"/>
      <c r="Q460" s="56" t="s">
        <v>3557</v>
      </c>
      <c r="R460" s="94" t="s">
        <v>1095</v>
      </c>
      <c r="S460" s="77" t="s">
        <v>41</v>
      </c>
      <c r="T460" s="21"/>
      <c r="U460" s="28"/>
      <c r="V460" s="105"/>
      <c r="W460" s="111" t="s">
        <v>3133</v>
      </c>
      <c r="X460" s="118" t="s">
        <v>3134</v>
      </c>
      <c r="Y460" s="30" t="s">
        <v>3599</v>
      </c>
      <c r="Z460" s="30"/>
      <c r="AA460" s="30"/>
      <c r="AB460" s="41"/>
      <c r="AC460" s="32"/>
      <c r="AD460" s="32"/>
      <c r="AE460" s="32"/>
      <c r="AF460" s="32"/>
      <c r="AG460" s="32"/>
      <c r="AH460" s="32"/>
      <c r="AI460" s="32"/>
      <c r="AJ460" s="32"/>
      <c r="AK460" s="32"/>
      <c r="AL460" s="32"/>
      <c r="AM460" s="32"/>
      <c r="AN460" s="32"/>
      <c r="AO460" s="32"/>
      <c r="AP460" s="32"/>
      <c r="AQ460" s="32"/>
    </row>
    <row r="461" spans="1:43" ht="15.75" customHeight="1">
      <c r="A461" s="458" t="s">
        <v>3917</v>
      </c>
      <c r="B461" s="95" t="s">
        <v>2270</v>
      </c>
      <c r="C461" s="246" t="s">
        <v>3600</v>
      </c>
      <c r="D461" s="232"/>
      <c r="E461" s="58"/>
      <c r="F461" s="47" t="s">
        <v>3601</v>
      </c>
      <c r="G461" s="32"/>
      <c r="H461" s="48" t="s">
        <v>3602</v>
      </c>
      <c r="I461" s="185" t="s">
        <v>2493</v>
      </c>
      <c r="J461" s="107" t="s">
        <v>3603</v>
      </c>
      <c r="K461" s="103"/>
      <c r="L461" s="103"/>
      <c r="M461" s="135" t="s">
        <v>3604</v>
      </c>
      <c r="N461" s="134" t="s">
        <v>3605</v>
      </c>
      <c r="O461" s="394" t="s">
        <v>3606</v>
      </c>
      <c r="P461" s="112"/>
      <c r="Q461" s="56" t="s">
        <v>3607</v>
      </c>
      <c r="R461" s="39" t="s">
        <v>517</v>
      </c>
      <c r="S461" s="77"/>
      <c r="T461" s="21"/>
      <c r="U461" s="28"/>
      <c r="V461" s="28"/>
      <c r="W461" s="111" t="s">
        <v>3133</v>
      </c>
      <c r="X461" s="118" t="s">
        <v>3134</v>
      </c>
      <c r="Y461" s="30" t="s">
        <v>3608</v>
      </c>
      <c r="Z461" s="30"/>
      <c r="AA461" s="30"/>
      <c r="AB461" s="41"/>
      <c r="AC461" s="32"/>
      <c r="AD461" s="32"/>
      <c r="AE461" s="32"/>
      <c r="AF461" s="32"/>
      <c r="AG461" s="32"/>
      <c r="AH461" s="32"/>
      <c r="AI461" s="32"/>
      <c r="AJ461" s="32"/>
      <c r="AK461" s="32"/>
      <c r="AL461" s="32"/>
      <c r="AM461" s="32"/>
      <c r="AN461" s="32"/>
      <c r="AO461" s="32"/>
      <c r="AP461" s="32"/>
      <c r="AQ461" s="32"/>
    </row>
    <row r="462" spans="1:43" ht="15.75" customHeight="1">
      <c r="A462" s="458" t="s">
        <v>3918</v>
      </c>
      <c r="B462" s="95" t="s">
        <v>2270</v>
      </c>
      <c r="C462" s="247" t="s">
        <v>170</v>
      </c>
      <c r="D462" s="232"/>
      <c r="E462" s="58"/>
      <c r="F462" s="47" t="s">
        <v>3609</v>
      </c>
      <c r="G462" s="32"/>
      <c r="H462" s="184" t="s">
        <v>3610</v>
      </c>
      <c r="I462" s="32" t="s">
        <v>2034</v>
      </c>
      <c r="J462" s="22" t="s">
        <v>2115</v>
      </c>
      <c r="K462" s="22"/>
      <c r="L462" s="166"/>
      <c r="M462" s="113" t="s">
        <v>675</v>
      </c>
      <c r="N462" s="89" t="s">
        <v>3611</v>
      </c>
      <c r="O462" s="89"/>
      <c r="P462" s="74" t="s">
        <v>1598</v>
      </c>
      <c r="Q462" s="91" t="s">
        <v>3612</v>
      </c>
      <c r="R462" s="305" t="s">
        <v>40</v>
      </c>
      <c r="S462" s="77" t="s">
        <v>41</v>
      </c>
      <c r="T462" s="84"/>
      <c r="U462" s="85" t="s">
        <v>187</v>
      </c>
      <c r="V462" s="219" t="s">
        <v>188</v>
      </c>
      <c r="W462" s="111" t="s">
        <v>3133</v>
      </c>
      <c r="X462" s="118" t="s">
        <v>3134</v>
      </c>
      <c r="Y462" s="30" t="s">
        <v>3613</v>
      </c>
      <c r="Z462" s="30"/>
      <c r="AA462" s="30"/>
      <c r="AB462" s="41"/>
      <c r="AC462" s="32"/>
      <c r="AD462" s="32"/>
      <c r="AE462" s="32"/>
      <c r="AF462" s="32"/>
      <c r="AG462" s="32"/>
      <c r="AH462" s="32"/>
      <c r="AI462" s="32"/>
      <c r="AJ462" s="32"/>
      <c r="AK462" s="32"/>
      <c r="AL462" s="32"/>
      <c r="AM462" s="32"/>
      <c r="AN462" s="32"/>
      <c r="AO462" s="32"/>
      <c r="AP462" s="32"/>
      <c r="AQ462" s="32"/>
    </row>
    <row r="463" spans="1:43" ht="15.75" customHeight="1">
      <c r="A463" s="458" t="s">
        <v>3614</v>
      </c>
      <c r="B463" s="95" t="s">
        <v>2270</v>
      </c>
      <c r="C463" s="247" t="s">
        <v>170</v>
      </c>
      <c r="D463" s="233"/>
      <c r="E463" s="67"/>
      <c r="F463" s="16" t="s">
        <v>3615</v>
      </c>
      <c r="G463" s="32" t="s">
        <v>3616</v>
      </c>
      <c r="H463" s="32" t="s">
        <v>3617</v>
      </c>
      <c r="I463" s="185" t="s">
        <v>2625</v>
      </c>
      <c r="J463" s="22" t="s">
        <v>1780</v>
      </c>
      <c r="K463" s="22"/>
      <c r="L463" s="22"/>
      <c r="M463" s="113" t="s">
        <v>2931</v>
      </c>
      <c r="N463" s="65" t="s">
        <v>3618</v>
      </c>
      <c r="O463" s="83"/>
      <c r="P463" s="25"/>
      <c r="Q463" s="26"/>
      <c r="R463" s="94" t="s">
        <v>1095</v>
      </c>
      <c r="S463" s="77" t="s">
        <v>41</v>
      </c>
      <c r="T463" s="119"/>
      <c r="U463" s="120"/>
      <c r="V463" s="120"/>
      <c r="W463" s="111" t="s">
        <v>3133</v>
      </c>
      <c r="X463" s="118" t="s">
        <v>3134</v>
      </c>
      <c r="Y463" s="30" t="s">
        <v>3314</v>
      </c>
      <c r="Z463" s="30"/>
      <c r="AA463" s="30"/>
      <c r="AB463" s="41"/>
      <c r="AC463" s="32"/>
      <c r="AD463" s="32"/>
      <c r="AE463" s="32"/>
      <c r="AF463" s="32"/>
      <c r="AG463" s="32"/>
      <c r="AH463" s="32"/>
      <c r="AI463" s="32"/>
      <c r="AJ463" s="32"/>
      <c r="AK463" s="32"/>
      <c r="AL463" s="32"/>
      <c r="AM463" s="32"/>
      <c r="AN463" s="32"/>
      <c r="AO463" s="32"/>
      <c r="AP463" s="32"/>
      <c r="AQ463" s="32"/>
    </row>
    <row r="464" spans="1:43" s="288" customFormat="1" ht="15.75" customHeight="1">
      <c r="A464" s="269" t="s">
        <v>3619</v>
      </c>
      <c r="B464" s="270" t="s">
        <v>3620</v>
      </c>
      <c r="C464" s="271" t="s">
        <v>170</v>
      </c>
      <c r="D464" s="272"/>
      <c r="E464" s="273"/>
      <c r="F464" s="274" t="s">
        <v>3621</v>
      </c>
      <c r="G464" s="274" t="s">
        <v>2272</v>
      </c>
      <c r="H464" s="274" t="s">
        <v>3622</v>
      </c>
      <c r="I464" s="275" t="s">
        <v>3623</v>
      </c>
      <c r="J464" s="380" t="s">
        <v>2260</v>
      </c>
      <c r="K464" s="380"/>
      <c r="L464" s="380"/>
      <c r="M464" s="276" t="s">
        <v>1591</v>
      </c>
      <c r="N464" s="277" t="s">
        <v>3624</v>
      </c>
      <c r="O464" s="277"/>
      <c r="P464" s="278"/>
      <c r="Q464" s="279"/>
      <c r="R464" s="406" t="s">
        <v>3625</v>
      </c>
      <c r="S464" s="280" t="s">
        <v>41</v>
      </c>
      <c r="T464" s="281"/>
      <c r="U464" s="282"/>
      <c r="V464" s="282"/>
      <c r="W464" s="283"/>
      <c r="X464" s="283"/>
      <c r="Y464" s="284"/>
      <c r="Z464" s="284"/>
      <c r="AA464" s="284"/>
      <c r="AB464" s="285"/>
      <c r="AC464" s="286"/>
      <c r="AD464" s="287"/>
      <c r="AE464" s="286"/>
      <c r="AF464" s="286"/>
      <c r="AG464" s="286"/>
      <c r="AH464" s="286"/>
      <c r="AI464" s="286"/>
      <c r="AJ464" s="286"/>
      <c r="AK464" s="286"/>
      <c r="AL464" s="286"/>
      <c r="AM464" s="286"/>
      <c r="AN464" s="286"/>
      <c r="AO464" s="286"/>
      <c r="AP464" s="286"/>
      <c r="AQ464" s="286"/>
    </row>
    <row r="465" spans="1:43" ht="15.75" customHeight="1">
      <c r="A465" s="463" t="s">
        <v>3919</v>
      </c>
      <c r="B465" s="95" t="s">
        <v>2270</v>
      </c>
      <c r="C465" s="246" t="s">
        <v>3626</v>
      </c>
      <c r="D465" s="232"/>
      <c r="E465" s="58"/>
      <c r="F465" s="47" t="s">
        <v>3627</v>
      </c>
      <c r="G465" s="32"/>
      <c r="H465" s="48" t="s">
        <v>3628</v>
      </c>
      <c r="I465" s="185" t="s">
        <v>2493</v>
      </c>
      <c r="J465" s="107" t="s">
        <v>3629</v>
      </c>
      <c r="K465" s="107"/>
      <c r="L465" s="107"/>
      <c r="M465" s="135" t="s">
        <v>3630</v>
      </c>
      <c r="N465" s="54" t="s">
        <v>3631</v>
      </c>
      <c r="O465" s="54" t="s">
        <v>3632</v>
      </c>
      <c r="P465" s="55"/>
      <c r="Q465" s="56" t="s">
        <v>3633</v>
      </c>
      <c r="R465" s="39" t="s">
        <v>517</v>
      </c>
      <c r="S465" s="77" t="s">
        <v>41</v>
      </c>
      <c r="T465" s="21"/>
      <c r="U465" s="28"/>
      <c r="V465" s="28"/>
      <c r="W465" s="111"/>
      <c r="X465" s="111"/>
      <c r="Y465" s="30" t="s">
        <v>3634</v>
      </c>
      <c r="Z465" s="30" t="s">
        <v>3635</v>
      </c>
      <c r="AA465" s="30" t="s">
        <v>3636</v>
      </c>
      <c r="AB465" s="41"/>
      <c r="AC465" s="32"/>
      <c r="AD465" s="32"/>
      <c r="AE465" s="32"/>
      <c r="AF465" s="32"/>
      <c r="AG465" s="32"/>
      <c r="AH465" s="32"/>
      <c r="AI465" s="32"/>
      <c r="AJ465" s="32"/>
      <c r="AK465" s="32"/>
      <c r="AL465" s="32"/>
      <c r="AM465" s="32"/>
      <c r="AN465" s="32"/>
      <c r="AO465" s="32"/>
      <c r="AP465" s="32"/>
      <c r="AQ465" s="32"/>
    </row>
    <row r="466" spans="1:43" ht="15.75" customHeight="1">
      <c r="A466" s="458" t="s">
        <v>3921</v>
      </c>
      <c r="B466" s="95" t="s">
        <v>429</v>
      </c>
      <c r="C466" s="247" t="s">
        <v>170</v>
      </c>
      <c r="D466" s="232"/>
      <c r="E466" s="58"/>
      <c r="F466" s="47" t="s">
        <v>3637</v>
      </c>
      <c r="G466" s="32" t="s">
        <v>3638</v>
      </c>
      <c r="H466" s="95" t="s">
        <v>3639</v>
      </c>
      <c r="I466" s="185" t="s">
        <v>2625</v>
      </c>
      <c r="J466" s="93"/>
      <c r="K466" s="22"/>
      <c r="L466" s="22" t="s">
        <v>3640</v>
      </c>
      <c r="M466" s="135" t="s">
        <v>3641</v>
      </c>
      <c r="N466" s="134" t="s">
        <v>3642</v>
      </c>
      <c r="O466" s="38" t="s">
        <v>3556</v>
      </c>
      <c r="P466" s="55"/>
      <c r="Q466" s="56" t="s">
        <v>3557</v>
      </c>
      <c r="R466" s="94" t="s">
        <v>1095</v>
      </c>
      <c r="S466" s="77"/>
      <c r="T466" s="21"/>
      <c r="U466" s="28"/>
      <c r="V466" s="28"/>
      <c r="W466" s="111" t="s">
        <v>3133</v>
      </c>
      <c r="X466" s="118" t="s">
        <v>3134</v>
      </c>
      <c r="Y466" s="30" t="s">
        <v>3236</v>
      </c>
      <c r="Z466" s="30"/>
      <c r="AA466" s="30"/>
      <c r="AB466" s="41"/>
      <c r="AC466" s="32"/>
      <c r="AD466" s="32"/>
      <c r="AE466" s="32"/>
      <c r="AF466" s="32"/>
      <c r="AG466" s="32"/>
      <c r="AH466" s="32"/>
      <c r="AI466" s="32"/>
      <c r="AJ466" s="32"/>
      <c r="AK466" s="32"/>
      <c r="AL466" s="32"/>
      <c r="AM466" s="32"/>
      <c r="AN466" s="32"/>
      <c r="AO466" s="32"/>
      <c r="AP466" s="32"/>
      <c r="AQ466" s="32"/>
    </row>
    <row r="467" spans="1:43" ht="15.75" customHeight="1">
      <c r="A467" s="464" t="s">
        <v>3920</v>
      </c>
      <c r="B467" s="95" t="s">
        <v>429</v>
      </c>
      <c r="C467" s="253" t="s">
        <v>3643</v>
      </c>
      <c r="D467" s="231" t="s">
        <v>3644</v>
      </c>
      <c r="E467" s="58" t="s">
        <v>3645</v>
      </c>
      <c r="F467" s="220" t="s">
        <v>3646</v>
      </c>
      <c r="G467" s="16" t="s">
        <v>3643</v>
      </c>
      <c r="H467" s="204" t="s">
        <v>3647</v>
      </c>
      <c r="I467" s="185" t="s">
        <v>3648</v>
      </c>
      <c r="J467" s="22"/>
      <c r="K467" s="22"/>
      <c r="L467" s="22"/>
      <c r="M467" s="135" t="s">
        <v>3649</v>
      </c>
      <c r="N467" s="38" t="s">
        <v>3650</v>
      </c>
      <c r="O467" s="38"/>
      <c r="P467" s="25" t="s">
        <v>3651</v>
      </c>
      <c r="Q467" s="56" t="s">
        <v>3652</v>
      </c>
      <c r="R467" s="94" t="s">
        <v>3975</v>
      </c>
      <c r="S467" s="77" t="s">
        <v>41</v>
      </c>
      <c r="T467" s="21"/>
      <c r="U467" s="28"/>
      <c r="V467" s="28"/>
      <c r="W467" s="111"/>
      <c r="X467" s="111"/>
      <c r="Y467" s="30"/>
      <c r="Z467" s="30"/>
      <c r="AA467" s="30"/>
      <c r="AB467" s="41"/>
      <c r="AC467" s="32"/>
      <c r="AD467" s="32"/>
      <c r="AE467" s="32"/>
      <c r="AF467" s="32"/>
      <c r="AG467" s="32"/>
      <c r="AH467" s="32"/>
      <c r="AI467" s="32"/>
      <c r="AJ467" s="32"/>
      <c r="AK467" s="32"/>
      <c r="AL467" s="32"/>
      <c r="AM467" s="32"/>
      <c r="AN467" s="32"/>
      <c r="AO467" s="32"/>
      <c r="AP467" s="32"/>
      <c r="AQ467" s="32"/>
    </row>
    <row r="468" spans="1:43" ht="15.75" customHeight="1">
      <c r="A468" s="458" t="s">
        <v>3653</v>
      </c>
      <c r="B468" s="95" t="s">
        <v>2270</v>
      </c>
      <c r="C468" s="247" t="s">
        <v>170</v>
      </c>
      <c r="D468" s="233"/>
      <c r="E468" s="67"/>
      <c r="F468" s="265" t="s">
        <v>3654</v>
      </c>
      <c r="G468" s="32" t="s">
        <v>3655</v>
      </c>
      <c r="H468" s="95" t="s">
        <v>3656</v>
      </c>
      <c r="I468" s="185" t="s">
        <v>2625</v>
      </c>
      <c r="J468" s="22"/>
      <c r="K468" s="22"/>
      <c r="L468" s="22"/>
      <c r="M468" s="303" t="s">
        <v>1973</v>
      </c>
      <c r="N468" s="65" t="s">
        <v>3657</v>
      </c>
      <c r="O468" s="38"/>
      <c r="P468" s="25"/>
      <c r="Q468" s="56"/>
      <c r="R468" s="99" t="s">
        <v>1095</v>
      </c>
      <c r="S468" s="77" t="s">
        <v>41</v>
      </c>
      <c r="T468" s="21"/>
      <c r="U468" s="28"/>
      <c r="V468" s="28"/>
      <c r="W468" s="111" t="s">
        <v>3133</v>
      </c>
      <c r="X468" s="118" t="s">
        <v>3134</v>
      </c>
      <c r="Y468" s="30" t="s">
        <v>3236</v>
      </c>
      <c r="Z468" s="30"/>
      <c r="AA468" s="30"/>
      <c r="AB468" s="46" t="s">
        <v>3658</v>
      </c>
      <c r="AC468" s="32"/>
      <c r="AD468" s="32"/>
      <c r="AE468" s="32"/>
      <c r="AF468" s="32"/>
      <c r="AG468" s="32"/>
      <c r="AH468" s="32"/>
      <c r="AI468" s="32"/>
      <c r="AJ468" s="32"/>
      <c r="AK468" s="32"/>
      <c r="AL468" s="32"/>
      <c r="AM468" s="32"/>
      <c r="AN468" s="32"/>
      <c r="AO468" s="32"/>
      <c r="AP468" s="32"/>
      <c r="AQ468" s="32"/>
    </row>
    <row r="469" spans="1:43" ht="15.75" customHeight="1">
      <c r="A469" s="458" t="s">
        <v>3659</v>
      </c>
      <c r="B469" s="95" t="s">
        <v>2270</v>
      </c>
      <c r="C469" s="247" t="s">
        <v>3923</v>
      </c>
      <c r="D469" s="232"/>
      <c r="E469" s="58"/>
      <c r="F469" s="265" t="s">
        <v>3660</v>
      </c>
      <c r="G469" s="32"/>
      <c r="H469" s="48" t="s">
        <v>3661</v>
      </c>
      <c r="I469" s="185" t="s">
        <v>3662</v>
      </c>
      <c r="J469" s="107" t="s">
        <v>3663</v>
      </c>
      <c r="K469" s="107"/>
      <c r="L469" s="107"/>
      <c r="M469" s="43" t="s">
        <v>136</v>
      </c>
      <c r="N469" s="38" t="s">
        <v>3664</v>
      </c>
      <c r="O469" s="294"/>
      <c r="P469" s="124"/>
      <c r="Q469" s="56"/>
      <c r="R469" s="36" t="s">
        <v>3665</v>
      </c>
      <c r="S469" s="77" t="s">
        <v>41</v>
      </c>
      <c r="T469" s="21"/>
      <c r="U469" s="28"/>
      <c r="V469" s="28"/>
      <c r="W469" s="110" t="s">
        <v>3666</v>
      </c>
      <c r="X469" s="29" t="s">
        <v>3667</v>
      </c>
      <c r="Y469" s="30" t="s">
        <v>3668</v>
      </c>
      <c r="Z469" s="30"/>
      <c r="AA469" s="30"/>
      <c r="AB469" s="31"/>
      <c r="AC469" s="69" t="s">
        <v>3669</v>
      </c>
      <c r="AD469" s="21"/>
      <c r="AE469" s="32"/>
      <c r="AF469" s="32"/>
      <c r="AG469" s="32"/>
      <c r="AH469" s="32"/>
      <c r="AI469" s="32"/>
      <c r="AJ469" s="32"/>
      <c r="AK469" s="32"/>
      <c r="AL469" s="32"/>
      <c r="AM469" s="32"/>
      <c r="AN469" s="32"/>
      <c r="AO469" s="32"/>
      <c r="AP469" s="32"/>
      <c r="AQ469" s="32"/>
    </row>
    <row r="470" spans="1:43" ht="15.75" customHeight="1">
      <c r="A470" s="458" t="s">
        <v>3922</v>
      </c>
      <c r="B470" s="95" t="s">
        <v>429</v>
      </c>
      <c r="C470" s="247" t="s">
        <v>170</v>
      </c>
      <c r="D470" s="233"/>
      <c r="E470" s="67"/>
      <c r="F470" s="265" t="s">
        <v>3670</v>
      </c>
      <c r="G470" s="374" t="s">
        <v>3671</v>
      </c>
      <c r="H470" s="48" t="s">
        <v>3672</v>
      </c>
      <c r="I470" s="185" t="s">
        <v>3673</v>
      </c>
      <c r="J470" s="22"/>
      <c r="K470" s="22"/>
      <c r="L470" s="22"/>
      <c r="M470" s="135" t="s">
        <v>2467</v>
      </c>
      <c r="N470" s="54" t="s">
        <v>3987</v>
      </c>
      <c r="O470" s="54"/>
      <c r="P470" s="74" t="s">
        <v>3491</v>
      </c>
      <c r="Q470" s="56" t="s">
        <v>3674</v>
      </c>
      <c r="R470" s="48" t="s">
        <v>3970</v>
      </c>
      <c r="S470" s="77" t="s">
        <v>41</v>
      </c>
      <c r="T470" s="21"/>
      <c r="U470" s="28"/>
      <c r="V470" s="28"/>
      <c r="W470" s="111"/>
      <c r="X470" s="111"/>
      <c r="Y470" s="30"/>
      <c r="Z470" s="30"/>
      <c r="AA470" s="30"/>
      <c r="AB470" s="41"/>
      <c r="AC470" s="32"/>
      <c r="AD470" s="32"/>
      <c r="AE470" s="32"/>
      <c r="AF470" s="32"/>
      <c r="AG470" s="32"/>
      <c r="AH470" s="32"/>
      <c r="AI470" s="32"/>
      <c r="AJ470" s="32"/>
      <c r="AK470" s="32"/>
      <c r="AL470" s="32"/>
      <c r="AM470" s="32"/>
      <c r="AN470" s="32"/>
      <c r="AO470" s="32"/>
      <c r="AP470" s="32"/>
      <c r="AQ470" s="32"/>
    </row>
    <row r="471" spans="1:43" ht="15.75" customHeight="1">
      <c r="A471" s="458" t="s">
        <v>3675</v>
      </c>
      <c r="B471" s="95" t="s">
        <v>429</v>
      </c>
      <c r="C471" s="247" t="s">
        <v>170</v>
      </c>
      <c r="D471" s="232"/>
      <c r="E471" s="58"/>
      <c r="F471" s="47" t="s">
        <v>3676</v>
      </c>
      <c r="G471" s="39" t="s">
        <v>3677</v>
      </c>
      <c r="H471" s="95" t="s">
        <v>3678</v>
      </c>
      <c r="I471" s="185" t="s">
        <v>2625</v>
      </c>
      <c r="J471" s="82"/>
      <c r="K471" s="82"/>
      <c r="L471" s="82" t="s">
        <v>3679</v>
      </c>
      <c r="M471" s="135" t="s">
        <v>796</v>
      </c>
      <c r="N471" s="65" t="s">
        <v>3680</v>
      </c>
      <c r="O471" s="38"/>
      <c r="P471" s="25"/>
      <c r="Q471" s="26"/>
      <c r="R471" s="99" t="s">
        <v>1095</v>
      </c>
      <c r="S471" s="77" t="s">
        <v>41</v>
      </c>
      <c r="T471" s="21"/>
      <c r="U471" s="28"/>
      <c r="V471" s="28"/>
      <c r="W471" s="29" t="s">
        <v>3681</v>
      </c>
      <c r="X471" s="29" t="s">
        <v>3682</v>
      </c>
      <c r="Y471" s="30" t="s">
        <v>3683</v>
      </c>
      <c r="Z471" s="30"/>
      <c r="AA471" s="30"/>
      <c r="AB471" s="31"/>
      <c r="AC471" s="32"/>
      <c r="AD471" s="32"/>
      <c r="AE471" s="32"/>
      <c r="AF471" s="32"/>
      <c r="AG471" s="32"/>
      <c r="AH471" s="32"/>
      <c r="AI471" s="32"/>
      <c r="AJ471" s="32"/>
      <c r="AK471" s="32"/>
      <c r="AL471" s="32"/>
      <c r="AM471" s="32"/>
      <c r="AN471" s="32"/>
      <c r="AO471" s="32"/>
      <c r="AP471" s="32"/>
      <c r="AQ471" s="32"/>
    </row>
    <row r="472" spans="1:43" ht="15.75" customHeight="1">
      <c r="A472" s="458" t="s">
        <v>3684</v>
      </c>
      <c r="B472" s="95" t="s">
        <v>2270</v>
      </c>
      <c r="C472" s="268" t="s">
        <v>3925</v>
      </c>
      <c r="D472" s="232"/>
      <c r="E472" s="58"/>
      <c r="F472" s="265" t="s">
        <v>3924</v>
      </c>
      <c r="G472" s="39"/>
      <c r="H472" s="48" t="s">
        <v>3685</v>
      </c>
      <c r="I472" s="113" t="s">
        <v>3686</v>
      </c>
      <c r="J472" s="82"/>
      <c r="K472" s="82"/>
      <c r="L472" s="82" t="s">
        <v>3687</v>
      </c>
      <c r="M472" s="32" t="s">
        <v>3688</v>
      </c>
      <c r="N472" s="38" t="s">
        <v>3689</v>
      </c>
      <c r="O472" s="38"/>
      <c r="P472" s="25"/>
      <c r="Q472" s="26"/>
      <c r="R472" s="101" t="s">
        <v>40</v>
      </c>
      <c r="S472" s="32" t="s">
        <v>41</v>
      </c>
      <c r="T472" s="21"/>
      <c r="U472" s="28"/>
      <c r="V472" s="28"/>
      <c r="W472" s="29"/>
      <c r="X472" s="29"/>
      <c r="Y472" s="30"/>
      <c r="Z472" s="30"/>
      <c r="AA472" s="30"/>
      <c r="AB472" s="41"/>
      <c r="AC472" s="32"/>
      <c r="AD472" s="32"/>
      <c r="AE472" s="32"/>
      <c r="AF472" s="32"/>
      <c r="AG472" s="32"/>
      <c r="AH472" s="32"/>
      <c r="AI472" s="32"/>
      <c r="AJ472" s="32"/>
      <c r="AK472" s="32"/>
      <c r="AL472" s="32"/>
      <c r="AM472" s="32"/>
      <c r="AN472" s="32"/>
      <c r="AO472" s="32"/>
      <c r="AP472" s="32"/>
      <c r="AQ472" s="32"/>
    </row>
    <row r="473" spans="1:43" ht="15.75" customHeight="1">
      <c r="A473" s="465" t="s">
        <v>3690</v>
      </c>
      <c r="B473" s="95" t="s">
        <v>2270</v>
      </c>
      <c r="C473" s="247" t="s">
        <v>170</v>
      </c>
      <c r="D473" s="233"/>
      <c r="E473" s="67"/>
      <c r="F473" s="300" t="s">
        <v>3691</v>
      </c>
      <c r="G473" s="39" t="s">
        <v>3692</v>
      </c>
      <c r="H473" s="374" t="s">
        <v>3693</v>
      </c>
      <c r="I473" s="377" t="s">
        <v>2625</v>
      </c>
      <c r="J473" s="82" t="s">
        <v>2836</v>
      </c>
      <c r="K473" s="82"/>
      <c r="L473" s="82"/>
      <c r="M473" s="303" t="s">
        <v>2931</v>
      </c>
      <c r="N473" s="392" t="s">
        <v>3694</v>
      </c>
      <c r="O473" s="294"/>
      <c r="P473" s="124"/>
      <c r="Q473" s="133"/>
      <c r="R473" s="99" t="s">
        <v>1095</v>
      </c>
      <c r="S473" s="39" t="s">
        <v>41</v>
      </c>
      <c r="T473" s="104"/>
      <c r="U473" s="105"/>
      <c r="V473" s="105"/>
      <c r="W473" s="72"/>
      <c r="X473" s="72"/>
      <c r="Y473" s="102"/>
      <c r="Z473" s="102"/>
      <c r="AA473" s="102"/>
      <c r="AB473" s="108"/>
      <c r="AC473" s="39"/>
      <c r="AD473" s="39"/>
      <c r="AE473" s="39"/>
      <c r="AF473" s="39"/>
      <c r="AG473" s="39"/>
      <c r="AH473" s="39"/>
      <c r="AI473" s="39"/>
      <c r="AJ473" s="39"/>
      <c r="AK473" s="39"/>
      <c r="AL473" s="39"/>
      <c r="AM473" s="39"/>
      <c r="AN473" s="39"/>
      <c r="AO473" s="39"/>
      <c r="AP473" s="39"/>
      <c r="AQ473" s="39"/>
    </row>
    <row r="474" spans="1:43" ht="15.75" customHeight="1">
      <c r="A474" s="458" t="s">
        <v>3926</v>
      </c>
      <c r="B474" s="95" t="s">
        <v>2270</v>
      </c>
      <c r="C474" s="247" t="s">
        <v>170</v>
      </c>
      <c r="D474" s="232"/>
      <c r="E474" s="58"/>
      <c r="F474" s="265" t="s">
        <v>3695</v>
      </c>
      <c r="G474" s="39"/>
      <c r="H474" s="203" t="s">
        <v>3696</v>
      </c>
      <c r="I474" s="190" t="s">
        <v>2493</v>
      </c>
      <c r="J474" s="22"/>
      <c r="K474" s="22"/>
      <c r="L474" s="22" t="s">
        <v>795</v>
      </c>
      <c r="M474" s="113" t="s">
        <v>796</v>
      </c>
      <c r="N474" s="38" t="s">
        <v>3697</v>
      </c>
      <c r="O474" s="38" t="s">
        <v>798</v>
      </c>
      <c r="P474" s="25"/>
      <c r="Q474" s="26" t="s">
        <v>799</v>
      </c>
      <c r="R474" s="32" t="s">
        <v>517</v>
      </c>
      <c r="S474" s="295" t="s">
        <v>41</v>
      </c>
      <c r="T474" s="104"/>
      <c r="U474" s="105"/>
      <c r="V474" s="28"/>
      <c r="W474" s="29"/>
      <c r="X474" s="29"/>
      <c r="Y474" s="30"/>
      <c r="Z474" s="30" t="s">
        <v>3698</v>
      </c>
      <c r="AA474" s="30" t="s">
        <v>3699</v>
      </c>
      <c r="AB474" s="41"/>
      <c r="AC474" s="32"/>
      <c r="AD474" s="32"/>
      <c r="AE474" s="32"/>
      <c r="AF474" s="32"/>
      <c r="AG474" s="32"/>
      <c r="AH474" s="32"/>
      <c r="AI474" s="32"/>
      <c r="AJ474" s="32"/>
      <c r="AK474" s="32"/>
      <c r="AL474" s="32"/>
      <c r="AM474" s="32"/>
      <c r="AN474" s="32"/>
      <c r="AO474" s="32"/>
      <c r="AP474" s="32"/>
      <c r="AQ474" s="32"/>
    </row>
    <row r="475" spans="1:43" ht="15.75" customHeight="1">
      <c r="A475" s="458" t="s">
        <v>3927</v>
      </c>
      <c r="B475" s="95" t="s">
        <v>2270</v>
      </c>
      <c r="C475" s="247" t="s">
        <v>170</v>
      </c>
      <c r="D475" s="232"/>
      <c r="E475" s="58"/>
      <c r="F475" s="265" t="s">
        <v>3700</v>
      </c>
      <c r="G475" s="32"/>
      <c r="H475" s="48" t="s">
        <v>3701</v>
      </c>
      <c r="I475" s="185" t="s">
        <v>3702</v>
      </c>
      <c r="J475" s="22"/>
      <c r="K475" s="22"/>
      <c r="L475" s="22"/>
      <c r="M475" s="303" t="s">
        <v>1608</v>
      </c>
      <c r="N475" s="38" t="s">
        <v>3703</v>
      </c>
      <c r="O475" s="38" t="s">
        <v>3704</v>
      </c>
      <c r="P475" s="25"/>
      <c r="Q475" s="26" t="s">
        <v>3705</v>
      </c>
      <c r="R475" s="32" t="s">
        <v>517</v>
      </c>
      <c r="S475" s="295" t="s">
        <v>41</v>
      </c>
      <c r="T475" s="104"/>
      <c r="U475" s="105"/>
      <c r="V475" s="28"/>
      <c r="W475" s="111" t="s">
        <v>3133</v>
      </c>
      <c r="X475" s="118" t="s">
        <v>3134</v>
      </c>
      <c r="Y475" s="30" t="s">
        <v>3269</v>
      </c>
      <c r="Z475" s="30" t="s">
        <v>3706</v>
      </c>
      <c r="AA475" s="30" t="s">
        <v>3707</v>
      </c>
      <c r="AB475" s="41"/>
      <c r="AC475" s="32"/>
      <c r="AD475" s="32"/>
      <c r="AE475" s="32"/>
      <c r="AF475" s="32"/>
      <c r="AG475" s="32"/>
      <c r="AH475" s="32"/>
      <c r="AI475" s="32"/>
      <c r="AJ475" s="32"/>
      <c r="AK475" s="32"/>
      <c r="AL475" s="32"/>
      <c r="AM475" s="32"/>
      <c r="AN475" s="32"/>
      <c r="AO475" s="32"/>
      <c r="AP475" s="32"/>
      <c r="AQ475" s="32"/>
    </row>
    <row r="476" spans="1:43" ht="15.75" customHeight="1">
      <c r="A476" s="466" t="s">
        <v>3708</v>
      </c>
      <c r="B476" s="95" t="s">
        <v>2270</v>
      </c>
      <c r="C476" s="253" t="s">
        <v>3709</v>
      </c>
      <c r="D476" s="232"/>
      <c r="E476" s="58"/>
      <c r="F476" s="16" t="s">
        <v>3710</v>
      </c>
      <c r="G476" s="32" t="s">
        <v>3711</v>
      </c>
      <c r="H476" s="95" t="s">
        <v>3712</v>
      </c>
      <c r="I476" s="185" t="s">
        <v>3713</v>
      </c>
      <c r="J476" s="22" t="s">
        <v>2930</v>
      </c>
      <c r="K476" s="93" t="s">
        <v>3597</v>
      </c>
      <c r="L476" s="22"/>
      <c r="M476" s="303" t="s">
        <v>3714</v>
      </c>
      <c r="N476" s="65" t="s">
        <v>3715</v>
      </c>
      <c r="O476" s="38"/>
      <c r="P476" s="25"/>
      <c r="Q476" s="26"/>
      <c r="R476" s="99" t="s">
        <v>1095</v>
      </c>
      <c r="S476" s="77" t="s">
        <v>41</v>
      </c>
      <c r="T476" s="21" t="s">
        <v>3716</v>
      </c>
      <c r="U476" s="28"/>
      <c r="V476" s="28"/>
      <c r="W476" s="29" t="s">
        <v>3133</v>
      </c>
      <c r="X476" s="118" t="s">
        <v>3134</v>
      </c>
      <c r="Y476" s="30" t="s">
        <v>3717</v>
      </c>
      <c r="Z476" s="30"/>
      <c r="AA476" s="30"/>
      <c r="AB476" s="31" t="s">
        <v>3718</v>
      </c>
      <c r="AC476" s="32"/>
      <c r="AD476" s="32"/>
      <c r="AE476" s="32"/>
      <c r="AF476" s="32"/>
      <c r="AG476" s="32"/>
      <c r="AH476" s="32"/>
      <c r="AI476" s="32"/>
      <c r="AJ476" s="32"/>
      <c r="AK476" s="32"/>
      <c r="AL476" s="32"/>
      <c r="AM476" s="32"/>
      <c r="AN476" s="32"/>
      <c r="AO476" s="32"/>
      <c r="AP476" s="32"/>
      <c r="AQ476" s="32"/>
    </row>
    <row r="477" spans="1:43" ht="15.75" customHeight="1">
      <c r="A477" s="458" t="s">
        <v>3719</v>
      </c>
      <c r="B477" s="95" t="s">
        <v>2270</v>
      </c>
      <c r="C477" s="247" t="s">
        <v>170</v>
      </c>
      <c r="D477" s="233"/>
      <c r="E477" s="58"/>
      <c r="F477" s="47" t="s">
        <v>3720</v>
      </c>
      <c r="G477" s="32" t="s">
        <v>3721</v>
      </c>
      <c r="H477" s="95" t="s">
        <v>3722</v>
      </c>
      <c r="I477" s="185" t="s">
        <v>2625</v>
      </c>
      <c r="J477" s="22" t="s">
        <v>3573</v>
      </c>
      <c r="K477" s="22"/>
      <c r="L477" s="22"/>
      <c r="M477" s="135" t="s">
        <v>2931</v>
      </c>
      <c r="N477" s="134" t="s">
        <v>3723</v>
      </c>
      <c r="O477" s="54"/>
      <c r="P477" s="55"/>
      <c r="Q477" s="56"/>
      <c r="R477" s="99" t="s">
        <v>1095</v>
      </c>
      <c r="S477" s="77" t="s">
        <v>41</v>
      </c>
      <c r="T477" s="21" t="s">
        <v>3724</v>
      </c>
      <c r="U477" s="28"/>
      <c r="V477" s="28"/>
      <c r="W477" s="111" t="s">
        <v>3133</v>
      </c>
      <c r="X477" s="118" t="s">
        <v>3134</v>
      </c>
      <c r="Y477" s="30" t="s">
        <v>3725</v>
      </c>
      <c r="Z477" s="30"/>
      <c r="AA477" s="30"/>
      <c r="AB477" s="46" t="s">
        <v>3726</v>
      </c>
      <c r="AC477" s="32"/>
      <c r="AD477" s="32"/>
      <c r="AE477" s="32"/>
      <c r="AF477" s="32"/>
      <c r="AG477" s="32"/>
      <c r="AH477" s="32"/>
      <c r="AI477" s="32"/>
      <c r="AJ477" s="32"/>
      <c r="AK477" s="32"/>
      <c r="AL477" s="32"/>
      <c r="AM477" s="32"/>
      <c r="AN477" s="32"/>
      <c r="AO477" s="32"/>
      <c r="AP477" s="32"/>
      <c r="AQ477" s="32"/>
    </row>
    <row r="478" spans="1:43" ht="15.75" customHeight="1">
      <c r="A478" s="458" t="s">
        <v>3727</v>
      </c>
      <c r="B478" s="95" t="s">
        <v>2270</v>
      </c>
      <c r="C478" s="247" t="s">
        <v>170</v>
      </c>
      <c r="D478" s="233"/>
      <c r="E478" s="58"/>
      <c r="F478" s="300" t="s">
        <v>3728</v>
      </c>
      <c r="G478" s="32" t="s">
        <v>3729</v>
      </c>
      <c r="H478" s="95" t="s">
        <v>3730</v>
      </c>
      <c r="I478" s="185" t="s">
        <v>3731</v>
      </c>
      <c r="J478" s="22"/>
      <c r="K478" s="93" t="s">
        <v>3597</v>
      </c>
      <c r="L478" s="22"/>
      <c r="M478" s="209" t="s">
        <v>2716</v>
      </c>
      <c r="N478" s="134" t="s">
        <v>3732</v>
      </c>
      <c r="O478" s="54"/>
      <c r="P478" s="55"/>
      <c r="Q478" s="56"/>
      <c r="R478" s="99" t="s">
        <v>1095</v>
      </c>
      <c r="S478" s="77" t="s">
        <v>41</v>
      </c>
      <c r="T478" s="21" t="s">
        <v>3733</v>
      </c>
      <c r="U478" s="28"/>
      <c r="V478" s="28"/>
      <c r="W478" s="111" t="s">
        <v>3133</v>
      </c>
      <c r="X478" s="118" t="s">
        <v>3134</v>
      </c>
      <c r="Y478" s="30" t="s">
        <v>3734</v>
      </c>
      <c r="Z478" s="30"/>
      <c r="AA478" s="30"/>
      <c r="AB478" s="41"/>
      <c r="AC478" s="32"/>
      <c r="AD478" s="32"/>
      <c r="AE478" s="32"/>
      <c r="AF478" s="32"/>
      <c r="AG478" s="32"/>
      <c r="AH478" s="32"/>
      <c r="AI478" s="32"/>
      <c r="AJ478" s="32"/>
      <c r="AK478" s="32"/>
      <c r="AL478" s="32"/>
      <c r="AM478" s="32"/>
      <c r="AN478" s="32"/>
      <c r="AO478" s="32"/>
      <c r="AP478" s="32"/>
      <c r="AQ478" s="32"/>
    </row>
    <row r="479" spans="1:43" ht="15.75" customHeight="1">
      <c r="A479" s="466" t="s">
        <v>3735</v>
      </c>
      <c r="B479" s="95" t="s">
        <v>2270</v>
      </c>
      <c r="C479" s="246" t="s">
        <v>3736</v>
      </c>
      <c r="D479" s="232"/>
      <c r="E479" s="136"/>
      <c r="F479" s="47" t="s">
        <v>3737</v>
      </c>
      <c r="G479" s="32"/>
      <c r="H479" s="48" t="s">
        <v>3738</v>
      </c>
      <c r="I479" s="113" t="s">
        <v>3739</v>
      </c>
      <c r="J479" s="22" t="s">
        <v>3740</v>
      </c>
      <c r="K479" s="22"/>
      <c r="L479" s="22"/>
      <c r="M479" s="135" t="s">
        <v>3741</v>
      </c>
      <c r="N479" s="54" t="s">
        <v>2117</v>
      </c>
      <c r="O479" s="54"/>
      <c r="P479" s="55"/>
      <c r="Q479" s="56"/>
      <c r="R479" s="32" t="s">
        <v>2118</v>
      </c>
      <c r="S479" s="32" t="s">
        <v>41</v>
      </c>
      <c r="T479" s="21" t="s">
        <v>3742</v>
      </c>
      <c r="U479" s="28"/>
      <c r="V479" s="28"/>
      <c r="W479" s="111"/>
      <c r="X479" s="111"/>
      <c r="Y479" s="30"/>
      <c r="Z479" s="30"/>
      <c r="AA479" s="30"/>
      <c r="AB479" s="41"/>
      <c r="AC479" s="32"/>
      <c r="AD479" s="21"/>
      <c r="AE479" s="32"/>
      <c r="AF479" s="32"/>
      <c r="AG479" s="32"/>
      <c r="AH479" s="32"/>
      <c r="AI479" s="32"/>
      <c r="AJ479" s="32"/>
      <c r="AK479" s="32"/>
      <c r="AL479" s="32"/>
      <c r="AM479" s="32"/>
      <c r="AN479" s="32"/>
      <c r="AO479" s="32"/>
      <c r="AP479" s="32"/>
      <c r="AQ479" s="32"/>
    </row>
    <row r="480" spans="1:43" ht="54" customHeight="1">
      <c r="A480" s="467" t="s">
        <v>3743</v>
      </c>
      <c r="B480" s="95" t="s">
        <v>2270</v>
      </c>
      <c r="C480" s="248" t="s">
        <v>142</v>
      </c>
      <c r="D480" s="233"/>
      <c r="E480" s="58"/>
      <c r="F480" s="47" t="s">
        <v>3744</v>
      </c>
      <c r="G480" s="32" t="s">
        <v>3745</v>
      </c>
      <c r="H480" s="48" t="s">
        <v>3746</v>
      </c>
      <c r="I480" s="32" t="s">
        <v>2625</v>
      </c>
      <c r="J480" s="22"/>
      <c r="K480" s="22" t="s">
        <v>3195</v>
      </c>
      <c r="L480" s="22"/>
      <c r="M480" s="32" t="s">
        <v>2205</v>
      </c>
      <c r="N480" s="65" t="s">
        <v>3747</v>
      </c>
      <c r="O480" s="38"/>
      <c r="P480" s="25"/>
      <c r="Q480" s="26"/>
      <c r="R480" s="99" t="s">
        <v>1095</v>
      </c>
      <c r="S480" s="32" t="s">
        <v>41</v>
      </c>
      <c r="T480" s="21" t="s">
        <v>3748</v>
      </c>
      <c r="U480" s="28"/>
      <c r="V480" s="28"/>
      <c r="W480" s="111"/>
      <c r="X480" s="111"/>
      <c r="Y480" s="30"/>
      <c r="Z480" s="30"/>
      <c r="AA480" s="30"/>
      <c r="AB480" s="41"/>
      <c r="AC480" s="32"/>
      <c r="AD480" s="21"/>
      <c r="AE480" s="32"/>
      <c r="AF480" s="32"/>
      <c r="AG480" s="32"/>
      <c r="AH480" s="32"/>
      <c r="AI480" s="32"/>
      <c r="AJ480" s="32"/>
      <c r="AK480" s="32"/>
      <c r="AL480" s="32"/>
      <c r="AM480" s="32"/>
      <c r="AN480" s="32"/>
      <c r="AO480" s="32"/>
      <c r="AP480" s="32"/>
      <c r="AQ480" s="32"/>
    </row>
    <row r="481" spans="1:43" ht="15.75" customHeight="1">
      <c r="A481" s="468"/>
      <c r="B481" s="469"/>
      <c r="C481" s="470"/>
      <c r="D481" s="471"/>
      <c r="E481" s="472"/>
      <c r="F481" s="473"/>
      <c r="G481" s="472"/>
      <c r="H481" s="474"/>
      <c r="I481" s="474"/>
      <c r="J481" s="475"/>
      <c r="K481" s="475"/>
      <c r="L481" s="475"/>
      <c r="M481" s="476"/>
      <c r="N481" s="477"/>
      <c r="O481" s="477"/>
      <c r="P481" s="478"/>
      <c r="Q481" s="477"/>
      <c r="R481" s="479"/>
      <c r="S481" s="480"/>
      <c r="T481" s="472"/>
      <c r="U481" s="472"/>
      <c r="V481" s="472"/>
      <c r="W481" s="472"/>
      <c r="X481" s="472"/>
      <c r="Y481" s="481"/>
      <c r="Z481" s="482"/>
      <c r="AA481" s="472"/>
      <c r="AB481" s="483"/>
      <c r="AC481" s="472"/>
      <c r="AD481" s="472"/>
      <c r="AE481" s="32"/>
      <c r="AF481" s="32"/>
      <c r="AG481" s="32"/>
      <c r="AH481" s="32"/>
      <c r="AI481" s="32"/>
      <c r="AJ481" s="32"/>
      <c r="AK481" s="32"/>
      <c r="AL481" s="32"/>
      <c r="AM481" s="32"/>
      <c r="AN481" s="32"/>
      <c r="AO481" s="32"/>
      <c r="AP481" s="32"/>
      <c r="AQ481" s="32"/>
    </row>
    <row r="482" spans="1:43" ht="15.75" customHeight="1">
      <c r="A482" s="468"/>
      <c r="B482" s="469"/>
      <c r="C482" s="261"/>
      <c r="D482" s="232"/>
      <c r="E482" s="99"/>
      <c r="F482" s="99"/>
      <c r="G482" s="99"/>
      <c r="H482" s="222"/>
      <c r="I482" s="99"/>
      <c r="J482" s="99"/>
      <c r="K482" s="99"/>
      <c r="L482" s="99"/>
      <c r="M482" s="99"/>
      <c r="N482" s="99"/>
      <c r="O482" s="99"/>
      <c r="P482" s="99"/>
      <c r="Q482" s="99"/>
      <c r="R482" s="99"/>
      <c r="S482" s="99"/>
      <c r="T482" s="99"/>
      <c r="U482" s="99"/>
      <c r="V482" s="99"/>
      <c r="W482" s="99"/>
      <c r="X482" s="99"/>
      <c r="Y482" s="99"/>
      <c r="Z482" s="99"/>
      <c r="AA482" s="99"/>
      <c r="AB482" s="99"/>
      <c r="AC482" s="99"/>
      <c r="AD482" s="99"/>
      <c r="AE482" s="99"/>
      <c r="AF482" s="99"/>
      <c r="AG482" s="99"/>
      <c r="AH482" s="99"/>
      <c r="AI482" s="99"/>
      <c r="AJ482" s="99"/>
      <c r="AK482" s="99"/>
      <c r="AL482" s="99"/>
      <c r="AM482" s="99"/>
      <c r="AN482" s="99"/>
      <c r="AO482" s="99"/>
      <c r="AP482" s="99"/>
      <c r="AQ482" s="99"/>
    </row>
    <row r="483" spans="1:43" ht="15.75" customHeight="1">
      <c r="A483" s="99"/>
      <c r="B483" s="469"/>
      <c r="C483" s="261"/>
      <c r="D483" s="232"/>
      <c r="E483" s="99"/>
      <c r="F483" s="99"/>
      <c r="G483" s="99"/>
      <c r="H483" s="222"/>
      <c r="I483" s="99"/>
      <c r="J483" s="99"/>
      <c r="K483" s="99"/>
      <c r="L483" s="99"/>
      <c r="M483" s="99"/>
      <c r="N483" s="99"/>
      <c r="O483" s="99"/>
      <c r="P483" s="99"/>
      <c r="Q483" s="99"/>
      <c r="R483" s="99"/>
      <c r="S483" s="99"/>
      <c r="T483" s="99"/>
      <c r="U483" s="99"/>
      <c r="V483" s="99"/>
      <c r="W483" s="99"/>
      <c r="X483" s="99"/>
      <c r="Y483" s="99"/>
      <c r="Z483" s="99"/>
      <c r="AA483" s="99"/>
      <c r="AB483" s="99"/>
      <c r="AC483" s="99"/>
      <c r="AD483" s="99"/>
      <c r="AE483" s="99"/>
      <c r="AF483" s="99"/>
      <c r="AG483" s="99"/>
      <c r="AH483" s="99"/>
      <c r="AI483" s="99"/>
      <c r="AJ483" s="99"/>
      <c r="AK483" s="99"/>
      <c r="AL483" s="99"/>
      <c r="AM483" s="99"/>
      <c r="AN483" s="99"/>
      <c r="AO483" s="99"/>
      <c r="AP483" s="99"/>
      <c r="AQ483" s="99"/>
    </row>
    <row r="484" spans="1:43" ht="15.75" customHeight="1">
      <c r="A484" s="99"/>
      <c r="B484" s="469"/>
      <c r="C484" s="261"/>
      <c r="D484" s="232"/>
      <c r="E484" s="99"/>
      <c r="F484" s="99"/>
      <c r="G484" s="99"/>
      <c r="H484" s="222"/>
      <c r="I484" s="99"/>
      <c r="J484" s="99"/>
      <c r="K484" s="99"/>
      <c r="L484" s="99"/>
      <c r="M484" s="99"/>
      <c r="N484" s="99"/>
      <c r="O484" s="99"/>
      <c r="P484" s="99"/>
      <c r="Q484" s="99"/>
      <c r="R484" s="99"/>
      <c r="S484" s="99"/>
      <c r="T484" s="99"/>
      <c r="U484" s="99"/>
      <c r="V484" s="99"/>
      <c r="W484" s="99"/>
      <c r="X484" s="99"/>
      <c r="Y484" s="99"/>
      <c r="Z484" s="99"/>
      <c r="AA484" s="99"/>
      <c r="AB484" s="99"/>
      <c r="AC484" s="99"/>
      <c r="AD484" s="99"/>
      <c r="AE484" s="99"/>
      <c r="AF484" s="99"/>
      <c r="AG484" s="99"/>
      <c r="AH484" s="99"/>
      <c r="AI484" s="99"/>
      <c r="AJ484" s="99"/>
      <c r="AK484" s="99"/>
      <c r="AL484" s="99"/>
      <c r="AM484" s="99"/>
      <c r="AN484" s="99"/>
      <c r="AO484" s="99"/>
      <c r="AP484" s="99"/>
      <c r="AQ484" s="99"/>
    </row>
    <row r="485" spans="1:43" ht="15.75" customHeight="1">
      <c r="A485" s="99"/>
      <c r="B485" s="469"/>
      <c r="C485" s="261"/>
      <c r="D485" s="232"/>
      <c r="E485" s="484"/>
      <c r="F485" s="99"/>
      <c r="G485" s="99"/>
      <c r="H485" s="222"/>
      <c r="I485" s="99"/>
      <c r="J485" s="99"/>
      <c r="K485" s="99"/>
      <c r="L485" s="99"/>
      <c r="M485" s="99"/>
      <c r="N485" s="99"/>
      <c r="O485" s="99"/>
      <c r="P485" s="99"/>
      <c r="Q485" s="99"/>
      <c r="R485" s="99"/>
      <c r="S485" s="99"/>
      <c r="T485" s="99"/>
      <c r="U485" s="99"/>
      <c r="V485" s="99"/>
      <c r="W485" s="99"/>
      <c r="X485" s="99"/>
      <c r="Y485" s="99"/>
      <c r="Z485" s="99"/>
      <c r="AA485" s="99"/>
      <c r="AB485" s="99"/>
      <c r="AC485" s="99"/>
      <c r="AD485" s="99"/>
      <c r="AE485" s="99"/>
      <c r="AF485" s="99"/>
      <c r="AG485" s="99"/>
      <c r="AH485" s="99"/>
      <c r="AI485" s="99"/>
      <c r="AJ485" s="99"/>
      <c r="AK485" s="99"/>
      <c r="AL485" s="99"/>
      <c r="AM485" s="99"/>
      <c r="AN485" s="99"/>
      <c r="AO485" s="99"/>
      <c r="AP485" s="99"/>
      <c r="AQ485" s="99"/>
    </row>
    <row r="486" spans="1:43" ht="15.75" customHeight="1">
      <c r="A486" s="99"/>
      <c r="B486" s="469"/>
      <c r="C486" s="261"/>
      <c r="D486" s="232"/>
      <c r="E486" s="99"/>
      <c r="F486" s="99"/>
      <c r="G486" s="99"/>
      <c r="H486" s="222"/>
      <c r="I486" s="99"/>
      <c r="J486" s="99"/>
      <c r="K486" s="99"/>
      <c r="L486" s="99"/>
      <c r="M486" s="99"/>
      <c r="N486" s="99"/>
      <c r="O486" s="99"/>
      <c r="P486" s="99"/>
      <c r="Q486" s="99"/>
      <c r="R486" s="99"/>
      <c r="S486" s="99"/>
      <c r="T486" s="99"/>
      <c r="U486" s="99"/>
      <c r="V486" s="99"/>
      <c r="W486" s="99"/>
      <c r="X486" s="99"/>
      <c r="Y486" s="99"/>
      <c r="Z486" s="99"/>
      <c r="AA486" s="99"/>
      <c r="AB486" s="99"/>
      <c r="AC486" s="99"/>
      <c r="AD486" s="99"/>
      <c r="AE486" s="99"/>
      <c r="AF486" s="99"/>
      <c r="AG486" s="99"/>
      <c r="AH486" s="99"/>
      <c r="AI486" s="99"/>
      <c r="AJ486" s="99"/>
      <c r="AK486" s="99"/>
      <c r="AL486" s="99"/>
      <c r="AM486" s="99"/>
      <c r="AN486" s="99"/>
      <c r="AO486" s="99"/>
      <c r="AP486" s="99"/>
      <c r="AQ486" s="99"/>
    </row>
    <row r="487" spans="1:43" ht="15.75" customHeight="1">
      <c r="A487" s="99"/>
      <c r="B487" s="469"/>
      <c r="C487" s="261"/>
      <c r="D487" s="232"/>
      <c r="E487" s="99"/>
      <c r="F487" s="99"/>
      <c r="G487" s="99"/>
      <c r="H487" s="222"/>
      <c r="I487" s="99"/>
      <c r="J487" s="99"/>
      <c r="K487" s="99"/>
      <c r="L487" s="99"/>
      <c r="M487" s="99"/>
      <c r="N487" s="99"/>
      <c r="O487" s="99"/>
      <c r="P487" s="99"/>
      <c r="Q487" s="99"/>
      <c r="R487" s="99"/>
      <c r="S487" s="99"/>
      <c r="T487" s="99"/>
      <c r="U487" s="99"/>
      <c r="V487" s="99"/>
      <c r="W487" s="99"/>
      <c r="X487" s="99"/>
      <c r="Y487" s="99"/>
      <c r="Z487" s="99"/>
      <c r="AA487" s="99"/>
      <c r="AB487" s="99"/>
      <c r="AC487" s="99"/>
      <c r="AD487" s="99"/>
      <c r="AE487" s="99"/>
      <c r="AF487" s="99"/>
      <c r="AG487" s="99"/>
      <c r="AH487" s="99"/>
      <c r="AI487" s="99"/>
      <c r="AJ487" s="99"/>
      <c r="AK487" s="99"/>
      <c r="AL487" s="99"/>
      <c r="AM487" s="99"/>
      <c r="AN487" s="99"/>
      <c r="AO487" s="99"/>
      <c r="AP487" s="99"/>
      <c r="AQ487" s="99"/>
    </row>
    <row r="488" spans="1:43" ht="15.75" customHeight="1">
      <c r="A488" s="99"/>
      <c r="B488" s="469"/>
      <c r="C488" s="261"/>
      <c r="D488" s="232"/>
      <c r="E488" s="99"/>
      <c r="F488" s="99"/>
      <c r="G488" s="99"/>
      <c r="H488" s="222"/>
      <c r="I488" s="99"/>
      <c r="J488" s="99"/>
      <c r="K488" s="99"/>
      <c r="L488" s="99"/>
      <c r="M488" s="99"/>
      <c r="N488" s="99"/>
      <c r="O488" s="99"/>
      <c r="P488" s="99"/>
      <c r="Q488" s="99"/>
      <c r="R488" s="99"/>
      <c r="S488" s="99"/>
      <c r="T488" s="99"/>
      <c r="U488" s="99"/>
      <c r="V488" s="99"/>
      <c r="W488" s="99"/>
      <c r="X488" s="99"/>
      <c r="Y488" s="99"/>
      <c r="Z488" s="99"/>
      <c r="AA488" s="99"/>
      <c r="AB488" s="99"/>
      <c r="AC488" s="99"/>
      <c r="AD488" s="99"/>
      <c r="AE488" s="99"/>
      <c r="AF488" s="99"/>
      <c r="AG488" s="99"/>
      <c r="AH488" s="99"/>
      <c r="AI488" s="99"/>
      <c r="AJ488" s="99"/>
      <c r="AK488" s="99"/>
      <c r="AL488" s="99"/>
      <c r="AM488" s="99"/>
      <c r="AN488" s="99"/>
      <c r="AO488" s="99"/>
      <c r="AP488" s="99"/>
      <c r="AQ488" s="99"/>
    </row>
    <row r="489" spans="1:43" ht="15.75" customHeight="1">
      <c r="A489" s="99"/>
      <c r="B489" s="469"/>
      <c r="C489" s="261"/>
      <c r="D489" s="232"/>
      <c r="E489" s="99"/>
      <c r="F489" s="99"/>
      <c r="G489" s="99"/>
      <c r="H489" s="222"/>
      <c r="I489" s="99"/>
      <c r="J489" s="99"/>
      <c r="K489" s="99"/>
      <c r="L489" s="99"/>
      <c r="M489" s="99"/>
      <c r="N489" s="99"/>
      <c r="O489" s="99"/>
      <c r="P489" s="99"/>
      <c r="Q489" s="99"/>
      <c r="R489" s="99"/>
      <c r="S489" s="99"/>
      <c r="T489" s="99"/>
      <c r="U489" s="99"/>
      <c r="V489" s="99"/>
      <c r="W489" s="99"/>
      <c r="X489" s="99"/>
      <c r="Y489" s="99"/>
      <c r="Z489" s="99"/>
      <c r="AA489" s="99"/>
      <c r="AB489" s="99"/>
      <c r="AC489" s="99"/>
      <c r="AD489" s="99"/>
      <c r="AE489" s="99"/>
      <c r="AF489" s="99"/>
      <c r="AG489" s="99"/>
      <c r="AH489" s="99"/>
      <c r="AI489" s="99"/>
      <c r="AJ489" s="99"/>
      <c r="AK489" s="99"/>
      <c r="AL489" s="99"/>
      <c r="AM489" s="99"/>
      <c r="AN489" s="99"/>
      <c r="AO489" s="99"/>
      <c r="AP489" s="99"/>
      <c r="AQ489" s="99"/>
    </row>
    <row r="490" spans="1:43" ht="15.75" customHeight="1">
      <c r="A490" s="99"/>
      <c r="B490" s="469"/>
      <c r="C490" s="261"/>
      <c r="D490" s="232"/>
      <c r="E490" s="99"/>
      <c r="F490" s="99"/>
      <c r="G490" s="99"/>
      <c r="H490" s="222"/>
      <c r="I490" s="99"/>
      <c r="J490" s="99"/>
      <c r="K490" s="99"/>
      <c r="L490" s="99"/>
      <c r="M490" s="99"/>
      <c r="N490" s="99"/>
      <c r="O490" s="99"/>
      <c r="P490" s="99"/>
      <c r="Q490" s="99"/>
      <c r="R490" s="99"/>
      <c r="S490" s="99"/>
      <c r="T490" s="99"/>
      <c r="U490" s="99"/>
      <c r="V490" s="99"/>
      <c r="W490" s="99"/>
      <c r="X490" s="99"/>
      <c r="Y490" s="99"/>
      <c r="Z490" s="99"/>
      <c r="AA490" s="99"/>
      <c r="AB490" s="99"/>
      <c r="AC490" s="99"/>
      <c r="AD490" s="99"/>
      <c r="AE490" s="99"/>
      <c r="AF490" s="99"/>
      <c r="AG490" s="99"/>
      <c r="AH490" s="99"/>
      <c r="AI490" s="99"/>
      <c r="AJ490" s="99"/>
      <c r="AK490" s="99"/>
      <c r="AL490" s="99"/>
      <c r="AM490" s="99"/>
      <c r="AN490" s="99"/>
      <c r="AO490" s="99"/>
      <c r="AP490" s="99"/>
      <c r="AQ490" s="99"/>
    </row>
    <row r="491" spans="1:43" ht="15.75" customHeight="1">
      <c r="A491" s="99"/>
      <c r="B491" s="99"/>
      <c r="C491" s="261"/>
      <c r="D491" s="232"/>
      <c r="E491" s="221"/>
      <c r="F491" s="99"/>
      <c r="G491" s="99"/>
      <c r="H491" s="222"/>
      <c r="I491" s="99"/>
      <c r="J491" s="35"/>
      <c r="K491" s="35"/>
      <c r="L491" s="35"/>
      <c r="M491" s="99"/>
      <c r="N491" s="99"/>
      <c r="O491" s="99"/>
      <c r="P491" s="223"/>
      <c r="Q491" s="224"/>
      <c r="R491" s="99"/>
      <c r="S491" s="99"/>
      <c r="T491" s="157"/>
      <c r="U491" s="158"/>
      <c r="V491" s="158"/>
      <c r="W491" s="110"/>
      <c r="X491" s="110"/>
      <c r="Y491" s="197"/>
      <c r="Z491" s="197"/>
      <c r="AA491" s="197"/>
      <c r="AB491" s="225"/>
      <c r="AC491" s="99"/>
      <c r="AD491" s="157"/>
      <c r="AE491" s="99"/>
      <c r="AF491" s="99"/>
      <c r="AG491" s="99"/>
      <c r="AH491" s="99"/>
      <c r="AI491" s="99"/>
      <c r="AJ491" s="99"/>
      <c r="AK491" s="99"/>
      <c r="AL491" s="99"/>
      <c r="AM491" s="99"/>
      <c r="AN491" s="99"/>
      <c r="AO491" s="99"/>
      <c r="AP491" s="99"/>
      <c r="AQ491" s="99"/>
    </row>
    <row r="492" spans="1:43" ht="15.75" customHeight="1">
      <c r="A492" s="99"/>
      <c r="B492" s="99"/>
      <c r="C492" s="261"/>
      <c r="D492" s="232"/>
      <c r="E492" s="221"/>
      <c r="F492" s="99"/>
      <c r="G492" s="99"/>
      <c r="H492" s="222"/>
      <c r="I492" s="99"/>
      <c r="J492" s="35"/>
      <c r="K492" s="35"/>
      <c r="L492" s="35"/>
      <c r="M492" s="99"/>
      <c r="N492" s="99"/>
      <c r="O492" s="99"/>
      <c r="P492" s="223"/>
      <c r="Q492" s="224"/>
      <c r="R492" s="99"/>
      <c r="S492" s="99"/>
      <c r="T492" s="157"/>
      <c r="U492" s="158"/>
      <c r="V492" s="158"/>
      <c r="W492" s="110"/>
      <c r="X492" s="110"/>
      <c r="Y492" s="197"/>
      <c r="Z492" s="197"/>
      <c r="AA492" s="197"/>
      <c r="AB492" s="225"/>
      <c r="AC492" s="99"/>
      <c r="AD492" s="157"/>
      <c r="AE492" s="99"/>
      <c r="AF492" s="99"/>
      <c r="AG492" s="99"/>
      <c r="AH492" s="99"/>
      <c r="AI492" s="99"/>
      <c r="AJ492" s="99"/>
      <c r="AK492" s="99"/>
      <c r="AL492" s="99"/>
      <c r="AM492" s="99"/>
      <c r="AN492" s="99"/>
      <c r="AO492" s="99"/>
      <c r="AP492" s="99"/>
      <c r="AQ492" s="99"/>
    </row>
    <row r="493" spans="1:43" ht="15.75" customHeight="1">
      <c r="A493" s="99"/>
      <c r="B493" s="99"/>
      <c r="C493" s="261"/>
      <c r="D493" s="232"/>
      <c r="E493" s="221"/>
      <c r="F493" s="99"/>
      <c r="G493" s="99"/>
      <c r="H493" s="222"/>
      <c r="I493" s="99"/>
      <c r="J493" s="35"/>
      <c r="K493" s="35"/>
      <c r="L493" s="35"/>
      <c r="M493" s="99"/>
      <c r="N493" s="99"/>
      <c r="O493" s="99"/>
      <c r="P493" s="223"/>
      <c r="Q493" s="224"/>
      <c r="R493" s="99"/>
      <c r="S493" s="99"/>
      <c r="T493" s="157"/>
      <c r="U493" s="158"/>
      <c r="V493" s="158"/>
      <c r="W493" s="110"/>
      <c r="X493" s="110"/>
      <c r="Y493" s="197"/>
      <c r="Z493" s="197"/>
      <c r="AA493" s="197"/>
      <c r="AB493" s="225"/>
      <c r="AC493" s="99"/>
      <c r="AD493" s="157"/>
      <c r="AE493" s="99"/>
      <c r="AF493" s="99"/>
      <c r="AG493" s="99"/>
      <c r="AH493" s="99"/>
      <c r="AI493" s="99"/>
      <c r="AJ493" s="99"/>
      <c r="AK493" s="99"/>
      <c r="AL493" s="99"/>
      <c r="AM493" s="99"/>
      <c r="AN493" s="99"/>
      <c r="AO493" s="99"/>
      <c r="AP493" s="99"/>
      <c r="AQ493" s="99"/>
    </row>
    <row r="494" spans="1:43" ht="15.75" customHeight="1">
      <c r="A494" s="99"/>
      <c r="B494" s="99"/>
      <c r="C494" s="261"/>
      <c r="D494" s="232"/>
      <c r="E494" s="221"/>
      <c r="F494" s="99"/>
      <c r="G494" s="99"/>
      <c r="H494" s="222"/>
      <c r="I494" s="99"/>
      <c r="J494" s="35"/>
      <c r="K494" s="35"/>
      <c r="L494" s="35"/>
      <c r="M494" s="99"/>
      <c r="N494" s="99"/>
      <c r="O494" s="99"/>
      <c r="P494" s="223"/>
      <c r="Q494" s="224"/>
      <c r="R494" s="99"/>
      <c r="S494" s="99"/>
      <c r="T494" s="157"/>
      <c r="U494" s="158"/>
      <c r="V494" s="158"/>
      <c r="W494" s="110"/>
      <c r="X494" s="110"/>
      <c r="Y494" s="197"/>
      <c r="Z494" s="197"/>
      <c r="AA494" s="197"/>
      <c r="AB494" s="225"/>
      <c r="AC494" s="99"/>
      <c r="AD494" s="157"/>
      <c r="AE494" s="99"/>
      <c r="AF494" s="99"/>
      <c r="AG494" s="99"/>
      <c r="AH494" s="99"/>
      <c r="AI494" s="99"/>
      <c r="AJ494" s="99"/>
      <c r="AK494" s="99"/>
      <c r="AL494" s="99"/>
      <c r="AM494" s="99"/>
      <c r="AN494" s="99"/>
      <c r="AO494" s="99"/>
      <c r="AP494" s="99"/>
      <c r="AQ494" s="99"/>
    </row>
    <row r="495" spans="1:43" ht="15.75" customHeight="1">
      <c r="A495" s="99"/>
      <c r="B495" s="99"/>
      <c r="C495" s="261"/>
      <c r="D495" s="232"/>
      <c r="E495" s="221"/>
      <c r="F495" s="99"/>
      <c r="G495" s="99"/>
      <c r="H495" s="222"/>
      <c r="I495" s="99"/>
      <c r="J495" s="35"/>
      <c r="K495" s="35"/>
      <c r="L495" s="35"/>
      <c r="M495" s="99"/>
      <c r="N495" s="99"/>
      <c r="O495" s="99"/>
      <c r="P495" s="223"/>
      <c r="Q495" s="224"/>
      <c r="R495" s="99"/>
      <c r="S495" s="99"/>
      <c r="T495" s="157"/>
      <c r="U495" s="158"/>
      <c r="V495" s="158"/>
      <c r="W495" s="110"/>
      <c r="X495" s="110"/>
      <c r="Y495" s="197"/>
      <c r="Z495" s="197"/>
      <c r="AA495" s="197"/>
      <c r="AB495" s="225"/>
      <c r="AC495" s="99"/>
      <c r="AD495" s="157"/>
      <c r="AE495" s="99"/>
      <c r="AF495" s="99"/>
      <c r="AG495" s="99"/>
      <c r="AH495" s="99"/>
      <c r="AI495" s="99"/>
      <c r="AJ495" s="99"/>
      <c r="AK495" s="99"/>
      <c r="AL495" s="99"/>
      <c r="AM495" s="99"/>
      <c r="AN495" s="99"/>
      <c r="AO495" s="99"/>
      <c r="AP495" s="99"/>
      <c r="AQ495" s="99"/>
    </row>
    <row r="496" spans="1:43" ht="15.75" customHeight="1">
      <c r="A496" s="99"/>
      <c r="B496" s="99"/>
      <c r="C496" s="261"/>
      <c r="D496" s="232"/>
      <c r="E496" s="221"/>
      <c r="F496" s="99"/>
      <c r="G496" s="99"/>
      <c r="H496" s="222"/>
      <c r="I496" s="99"/>
      <c r="J496" s="35"/>
      <c r="K496" s="35"/>
      <c r="L496" s="35"/>
      <c r="M496" s="99"/>
      <c r="N496" s="99"/>
      <c r="O496" s="99"/>
      <c r="P496" s="223"/>
      <c r="Q496" s="224"/>
      <c r="R496" s="99"/>
      <c r="S496" s="99"/>
      <c r="T496" s="157"/>
      <c r="U496" s="158"/>
      <c r="V496" s="158"/>
      <c r="W496" s="110"/>
      <c r="X496" s="110"/>
      <c r="Y496" s="197"/>
      <c r="Z496" s="197"/>
      <c r="AA496" s="197"/>
      <c r="AB496" s="225"/>
      <c r="AC496" s="99"/>
      <c r="AD496" s="157"/>
      <c r="AE496" s="99"/>
      <c r="AF496" s="99"/>
      <c r="AG496" s="99"/>
      <c r="AH496" s="99"/>
      <c r="AI496" s="99"/>
      <c r="AJ496" s="99"/>
      <c r="AK496" s="99"/>
      <c r="AL496" s="99"/>
      <c r="AM496" s="99"/>
      <c r="AN496" s="99"/>
      <c r="AO496" s="99"/>
      <c r="AP496" s="99"/>
      <c r="AQ496" s="99"/>
    </row>
    <row r="497" spans="1:43" ht="15.75" customHeight="1">
      <c r="A497" s="99"/>
      <c r="B497" s="99"/>
      <c r="C497" s="261"/>
      <c r="D497" s="232"/>
      <c r="E497" s="221"/>
      <c r="F497" s="99"/>
      <c r="G497" s="99"/>
      <c r="H497" s="222"/>
      <c r="I497" s="99"/>
      <c r="J497" s="35"/>
      <c r="K497" s="35"/>
      <c r="L497" s="35"/>
      <c r="M497" s="99"/>
      <c r="N497" s="99"/>
      <c r="O497" s="99"/>
      <c r="P497" s="223"/>
      <c r="Q497" s="224"/>
      <c r="R497" s="99"/>
      <c r="S497" s="99"/>
      <c r="T497" s="157"/>
      <c r="U497" s="158"/>
      <c r="V497" s="158"/>
      <c r="W497" s="110"/>
      <c r="X497" s="110"/>
      <c r="Y497" s="197"/>
      <c r="Z497" s="197"/>
      <c r="AA497" s="197"/>
      <c r="AB497" s="225"/>
      <c r="AC497" s="99"/>
      <c r="AD497" s="157"/>
      <c r="AE497" s="99"/>
      <c r="AF497" s="99"/>
      <c r="AG497" s="99"/>
      <c r="AH497" s="99"/>
      <c r="AI497" s="99"/>
      <c r="AJ497" s="99"/>
      <c r="AK497" s="99"/>
      <c r="AL497" s="99"/>
      <c r="AM497" s="99"/>
      <c r="AN497" s="99"/>
      <c r="AO497" s="99"/>
      <c r="AP497" s="99"/>
      <c r="AQ497" s="99"/>
    </row>
    <row r="498" spans="1:43" ht="15.75" customHeight="1">
      <c r="A498" s="99"/>
      <c r="B498" s="99"/>
      <c r="C498" s="261"/>
      <c r="D498" s="232"/>
      <c r="E498" s="221"/>
      <c r="F498" s="99"/>
      <c r="G498" s="99"/>
      <c r="H498" s="222"/>
      <c r="I498" s="99"/>
      <c r="J498" s="35"/>
      <c r="K498" s="35"/>
      <c r="L498" s="35"/>
      <c r="M498" s="99"/>
      <c r="N498" s="99"/>
      <c r="O498" s="99"/>
      <c r="P498" s="223"/>
      <c r="Q498" s="224"/>
      <c r="R498" s="99"/>
      <c r="S498" s="99"/>
      <c r="T498" s="157"/>
      <c r="U498" s="158"/>
      <c r="V498" s="158"/>
      <c r="W498" s="110"/>
      <c r="X498" s="110"/>
      <c r="Y498" s="197"/>
      <c r="Z498" s="197"/>
      <c r="AA498" s="197"/>
      <c r="AB498" s="225"/>
      <c r="AC498" s="99"/>
      <c r="AD498" s="157"/>
      <c r="AE498" s="99"/>
      <c r="AF498" s="99"/>
      <c r="AG498" s="99"/>
      <c r="AH498" s="99"/>
      <c r="AI498" s="99"/>
      <c r="AJ498" s="99"/>
      <c r="AK498" s="99"/>
      <c r="AL498" s="99"/>
      <c r="AM498" s="99"/>
      <c r="AN498" s="99"/>
      <c r="AO498" s="99"/>
      <c r="AP498" s="99"/>
      <c r="AQ498" s="99"/>
    </row>
    <row r="499" spans="1:43" ht="15.75" customHeight="1">
      <c r="A499" s="99"/>
      <c r="B499" s="99"/>
      <c r="C499" s="261"/>
      <c r="D499" s="232"/>
      <c r="E499" s="221"/>
      <c r="F499" s="99"/>
      <c r="G499" s="99"/>
      <c r="H499" s="222"/>
      <c r="I499" s="99"/>
      <c r="J499" s="35"/>
      <c r="K499" s="35"/>
      <c r="L499" s="35"/>
      <c r="M499" s="99"/>
      <c r="N499" s="99"/>
      <c r="O499" s="99"/>
      <c r="P499" s="223"/>
      <c r="Q499" s="224"/>
      <c r="R499" s="99"/>
      <c r="S499" s="99"/>
      <c r="T499" s="157"/>
      <c r="U499" s="158"/>
      <c r="V499" s="158"/>
      <c r="W499" s="110"/>
      <c r="X499" s="110"/>
      <c r="Y499" s="197"/>
      <c r="Z499" s="197"/>
      <c r="AA499" s="197"/>
      <c r="AB499" s="225"/>
      <c r="AC499" s="99"/>
      <c r="AD499" s="157"/>
      <c r="AE499" s="99"/>
      <c r="AF499" s="99"/>
      <c r="AG499" s="99"/>
      <c r="AH499" s="99"/>
      <c r="AI499" s="99"/>
      <c r="AJ499" s="99"/>
      <c r="AK499" s="99"/>
      <c r="AL499" s="99"/>
      <c r="AM499" s="99"/>
      <c r="AN499" s="99"/>
      <c r="AO499" s="99"/>
      <c r="AP499" s="99"/>
      <c r="AQ499" s="99"/>
    </row>
    <row r="500" spans="1:43" ht="15.75" customHeight="1">
      <c r="A500" s="99"/>
      <c r="B500" s="99"/>
      <c r="C500" s="261"/>
      <c r="D500" s="232"/>
      <c r="E500" s="221"/>
      <c r="F500" s="99"/>
      <c r="G500" s="99"/>
      <c r="H500" s="222"/>
      <c r="I500" s="99"/>
      <c r="J500" s="35"/>
      <c r="K500" s="35"/>
      <c r="L500" s="35"/>
      <c r="M500" s="99"/>
      <c r="N500" s="99"/>
      <c r="O500" s="99"/>
      <c r="P500" s="223"/>
      <c r="Q500" s="224"/>
      <c r="R500" s="99"/>
      <c r="S500" s="99"/>
      <c r="T500" s="157"/>
      <c r="U500" s="158"/>
      <c r="V500" s="158"/>
      <c r="W500" s="110"/>
      <c r="X500" s="110"/>
      <c r="Y500" s="197"/>
      <c r="Z500" s="197"/>
      <c r="AA500" s="197"/>
      <c r="AB500" s="225"/>
      <c r="AC500" s="99"/>
      <c r="AD500" s="157"/>
      <c r="AE500" s="99"/>
      <c r="AF500" s="99"/>
      <c r="AG500" s="99"/>
      <c r="AH500" s="99"/>
      <c r="AI500" s="99"/>
      <c r="AJ500" s="99"/>
      <c r="AK500" s="99"/>
      <c r="AL500" s="99"/>
      <c r="AM500" s="99"/>
      <c r="AN500" s="99"/>
      <c r="AO500" s="99"/>
      <c r="AP500" s="99"/>
      <c r="AQ500" s="99"/>
    </row>
    <row r="501" spans="1:43" ht="15.75" customHeight="1">
      <c r="A501" s="99"/>
      <c r="B501" s="99"/>
      <c r="C501" s="261"/>
      <c r="D501" s="232"/>
      <c r="E501" s="221"/>
      <c r="F501" s="99"/>
      <c r="G501" s="99"/>
      <c r="H501" s="222"/>
      <c r="I501" s="99"/>
      <c r="J501" s="35"/>
      <c r="K501" s="35"/>
      <c r="L501" s="35"/>
      <c r="M501" s="99"/>
      <c r="N501" s="99"/>
      <c r="O501" s="99"/>
      <c r="P501" s="223"/>
      <c r="Q501" s="224"/>
      <c r="R501" s="99"/>
      <c r="S501" s="99"/>
      <c r="T501" s="157"/>
      <c r="U501" s="158"/>
      <c r="V501" s="158"/>
      <c r="W501" s="110"/>
      <c r="X501" s="110"/>
      <c r="Y501" s="197"/>
      <c r="Z501" s="197"/>
      <c r="AA501" s="197"/>
      <c r="AB501" s="225"/>
      <c r="AC501" s="99"/>
      <c r="AD501" s="157"/>
      <c r="AE501" s="99"/>
      <c r="AF501" s="99"/>
      <c r="AG501" s="99"/>
      <c r="AH501" s="99"/>
      <c r="AI501" s="99"/>
      <c r="AJ501" s="99"/>
      <c r="AK501" s="99"/>
      <c r="AL501" s="99"/>
      <c r="AM501" s="99"/>
      <c r="AN501" s="99"/>
      <c r="AO501" s="99"/>
      <c r="AP501" s="99"/>
      <c r="AQ501" s="99"/>
    </row>
    <row r="502" spans="1:43" ht="15.75" customHeight="1">
      <c r="A502" s="99"/>
      <c r="B502" s="99"/>
      <c r="C502" s="261"/>
      <c r="D502" s="232"/>
      <c r="E502" s="221"/>
      <c r="F502" s="99"/>
      <c r="G502" s="99"/>
      <c r="H502" s="222"/>
      <c r="I502" s="99"/>
      <c r="J502" s="35"/>
      <c r="K502" s="35"/>
      <c r="L502" s="35"/>
      <c r="M502" s="99"/>
      <c r="N502" s="99"/>
      <c r="O502" s="99"/>
      <c r="P502" s="223"/>
      <c r="Q502" s="224"/>
      <c r="R502" s="99"/>
      <c r="S502" s="99"/>
      <c r="T502" s="157"/>
      <c r="U502" s="158"/>
      <c r="V502" s="158"/>
      <c r="W502" s="110"/>
      <c r="X502" s="110"/>
      <c r="Y502" s="197"/>
      <c r="Z502" s="197"/>
      <c r="AA502" s="197"/>
      <c r="AB502" s="225"/>
      <c r="AC502" s="99"/>
      <c r="AD502" s="157"/>
      <c r="AE502" s="99"/>
      <c r="AF502" s="99"/>
      <c r="AG502" s="99"/>
      <c r="AH502" s="99"/>
      <c r="AI502" s="99"/>
      <c r="AJ502" s="99"/>
      <c r="AK502" s="99"/>
      <c r="AL502" s="99"/>
      <c r="AM502" s="99"/>
      <c r="AN502" s="99"/>
      <c r="AO502" s="99"/>
      <c r="AP502" s="99"/>
      <c r="AQ502" s="99"/>
    </row>
    <row r="503" spans="1:43" ht="15.75" customHeight="1">
      <c r="A503" s="99"/>
      <c r="B503" s="99"/>
      <c r="C503" s="261"/>
      <c r="D503" s="232"/>
      <c r="E503" s="221"/>
      <c r="F503" s="99"/>
      <c r="G503" s="99"/>
      <c r="H503" s="222"/>
      <c r="I503" s="99"/>
      <c r="J503" s="35"/>
      <c r="K503" s="35"/>
      <c r="L503" s="35"/>
      <c r="M503" s="99"/>
      <c r="N503" s="99"/>
      <c r="O503" s="99"/>
      <c r="P503" s="223"/>
      <c r="Q503" s="224"/>
      <c r="R503" s="99"/>
      <c r="S503" s="99"/>
      <c r="T503" s="157"/>
      <c r="U503" s="158"/>
      <c r="V503" s="158"/>
      <c r="W503" s="110"/>
      <c r="X503" s="110"/>
      <c r="Y503" s="197"/>
      <c r="Z503" s="197"/>
      <c r="AA503" s="197"/>
      <c r="AB503" s="225"/>
      <c r="AC503" s="99"/>
      <c r="AD503" s="157"/>
      <c r="AE503" s="99"/>
      <c r="AF503" s="99"/>
      <c r="AG503" s="99"/>
      <c r="AH503" s="99"/>
      <c r="AI503" s="99"/>
      <c r="AJ503" s="99"/>
      <c r="AK503" s="99"/>
      <c r="AL503" s="99"/>
      <c r="AM503" s="99"/>
      <c r="AN503" s="99"/>
      <c r="AO503" s="99"/>
      <c r="AP503" s="99"/>
      <c r="AQ503" s="99"/>
    </row>
    <row r="504" spans="1:43" ht="15.75" customHeight="1">
      <c r="A504" s="99"/>
      <c r="B504" s="99"/>
      <c r="C504" s="261"/>
      <c r="D504" s="232"/>
      <c r="E504" s="221"/>
      <c r="F504" s="99"/>
      <c r="G504" s="99"/>
      <c r="H504" s="222"/>
      <c r="I504" s="99"/>
      <c r="J504" s="35"/>
      <c r="K504" s="35"/>
      <c r="L504" s="35"/>
      <c r="M504" s="99"/>
      <c r="N504" s="99"/>
      <c r="O504" s="99"/>
      <c r="P504" s="223"/>
      <c r="Q504" s="224"/>
      <c r="R504" s="99"/>
      <c r="S504" s="99"/>
      <c r="T504" s="157"/>
      <c r="U504" s="158"/>
      <c r="V504" s="158"/>
      <c r="W504" s="110"/>
      <c r="X504" s="110"/>
      <c r="Y504" s="197"/>
      <c r="Z504" s="197"/>
      <c r="AA504" s="197"/>
      <c r="AB504" s="225"/>
      <c r="AC504" s="99"/>
      <c r="AD504" s="157"/>
      <c r="AE504" s="99"/>
      <c r="AF504" s="99"/>
      <c r="AG504" s="99"/>
      <c r="AH504" s="99"/>
      <c r="AI504" s="99"/>
      <c r="AJ504" s="99"/>
      <c r="AK504" s="99"/>
      <c r="AL504" s="99"/>
      <c r="AM504" s="99"/>
      <c r="AN504" s="99"/>
      <c r="AO504" s="99"/>
      <c r="AP504" s="99"/>
      <c r="AQ504" s="99"/>
    </row>
    <row r="505" spans="1:43" ht="15.75" customHeight="1">
      <c r="A505" s="99"/>
      <c r="B505" s="99"/>
      <c r="C505" s="261"/>
      <c r="D505" s="232"/>
      <c r="E505" s="221"/>
      <c r="F505" s="99"/>
      <c r="G505" s="99"/>
      <c r="H505" s="222"/>
      <c r="I505" s="99"/>
      <c r="J505" s="35"/>
      <c r="K505" s="35"/>
      <c r="L505" s="35"/>
      <c r="M505" s="99"/>
      <c r="N505" s="99"/>
      <c r="O505" s="99"/>
      <c r="P505" s="223"/>
      <c r="Q505" s="224"/>
      <c r="R505" s="99"/>
      <c r="S505" s="99"/>
      <c r="T505" s="157"/>
      <c r="U505" s="158"/>
      <c r="V505" s="158"/>
      <c r="W505" s="110"/>
      <c r="X505" s="110"/>
      <c r="Y505" s="197"/>
      <c r="Z505" s="197"/>
      <c r="AA505" s="197"/>
      <c r="AB505" s="225"/>
      <c r="AC505" s="99"/>
      <c r="AD505" s="157"/>
      <c r="AE505" s="99"/>
      <c r="AF505" s="99"/>
      <c r="AG505" s="99"/>
      <c r="AH505" s="99"/>
      <c r="AI505" s="99"/>
      <c r="AJ505" s="99"/>
      <c r="AK505" s="99"/>
      <c r="AL505" s="99"/>
      <c r="AM505" s="99"/>
      <c r="AN505" s="99"/>
      <c r="AO505" s="99"/>
      <c r="AP505" s="99"/>
      <c r="AQ505" s="99"/>
    </row>
    <row r="506" spans="1:43" ht="15.75" customHeight="1">
      <c r="A506" s="99"/>
      <c r="B506" s="99"/>
      <c r="C506" s="261"/>
      <c r="D506" s="232"/>
      <c r="E506" s="221"/>
      <c r="F506" s="99"/>
      <c r="G506" s="99"/>
      <c r="H506" s="222"/>
      <c r="I506" s="99"/>
      <c r="J506" s="35"/>
      <c r="K506" s="35"/>
      <c r="L506" s="35"/>
      <c r="M506" s="99"/>
      <c r="N506" s="99"/>
      <c r="O506" s="99"/>
      <c r="P506" s="223"/>
      <c r="Q506" s="224"/>
      <c r="R506" s="99"/>
      <c r="S506" s="99"/>
      <c r="T506" s="157"/>
      <c r="U506" s="158"/>
      <c r="V506" s="158"/>
      <c r="W506" s="110"/>
      <c r="X506" s="110"/>
      <c r="Y506" s="197"/>
      <c r="Z506" s="197"/>
      <c r="AA506" s="197"/>
      <c r="AB506" s="225"/>
      <c r="AC506" s="99"/>
      <c r="AD506" s="157"/>
      <c r="AE506" s="99"/>
      <c r="AF506" s="99"/>
      <c r="AG506" s="99"/>
      <c r="AH506" s="99"/>
      <c r="AI506" s="99"/>
      <c r="AJ506" s="99"/>
      <c r="AK506" s="99"/>
      <c r="AL506" s="99"/>
      <c r="AM506" s="99"/>
      <c r="AN506" s="99"/>
      <c r="AO506" s="99"/>
      <c r="AP506" s="99"/>
      <c r="AQ506" s="99"/>
    </row>
    <row r="507" spans="1:43" ht="15.75" customHeight="1">
      <c r="A507" s="99"/>
      <c r="B507" s="99"/>
      <c r="C507" s="261"/>
      <c r="D507" s="232"/>
      <c r="E507" s="221"/>
      <c r="F507" s="99"/>
      <c r="G507" s="99"/>
      <c r="H507" s="222"/>
      <c r="I507" s="99"/>
      <c r="J507" s="35"/>
      <c r="K507" s="35"/>
      <c r="L507" s="35"/>
      <c r="M507" s="99"/>
      <c r="N507" s="99"/>
      <c r="O507" s="99"/>
      <c r="P507" s="223"/>
      <c r="Q507" s="224"/>
      <c r="R507" s="99"/>
      <c r="S507" s="99"/>
      <c r="T507" s="157"/>
      <c r="U507" s="158"/>
      <c r="V507" s="158"/>
      <c r="W507" s="110"/>
      <c r="X507" s="110"/>
      <c r="Y507" s="197"/>
      <c r="Z507" s="197"/>
      <c r="AA507" s="197"/>
      <c r="AB507" s="225"/>
      <c r="AC507" s="99"/>
      <c r="AD507" s="157"/>
      <c r="AE507" s="99"/>
      <c r="AF507" s="99"/>
      <c r="AG507" s="99"/>
      <c r="AH507" s="99"/>
      <c r="AI507" s="99"/>
      <c r="AJ507" s="99"/>
      <c r="AK507" s="99"/>
      <c r="AL507" s="99"/>
      <c r="AM507" s="99"/>
      <c r="AN507" s="99"/>
      <c r="AO507" s="99"/>
      <c r="AP507" s="99"/>
      <c r="AQ507" s="99"/>
    </row>
    <row r="508" spans="1:43" ht="15.75" customHeight="1">
      <c r="A508" s="99"/>
      <c r="B508" s="99"/>
      <c r="C508" s="261"/>
      <c r="D508" s="232"/>
      <c r="E508" s="221"/>
      <c r="F508" s="99"/>
      <c r="G508" s="99"/>
      <c r="H508" s="222"/>
      <c r="I508" s="99"/>
      <c r="J508" s="35"/>
      <c r="K508" s="35"/>
      <c r="L508" s="35"/>
      <c r="M508" s="99"/>
      <c r="N508" s="99"/>
      <c r="O508" s="99"/>
      <c r="P508" s="223"/>
      <c r="Q508" s="224"/>
      <c r="R508" s="99"/>
      <c r="S508" s="99"/>
      <c r="T508" s="157"/>
      <c r="U508" s="158"/>
      <c r="V508" s="158"/>
      <c r="W508" s="110"/>
      <c r="X508" s="110"/>
      <c r="Y508" s="197"/>
      <c r="Z508" s="197"/>
      <c r="AA508" s="197"/>
      <c r="AB508" s="225"/>
      <c r="AC508" s="99"/>
      <c r="AD508" s="157"/>
      <c r="AE508" s="99"/>
      <c r="AF508" s="99"/>
      <c r="AG508" s="99"/>
      <c r="AH508" s="99"/>
      <c r="AI508" s="99"/>
      <c r="AJ508" s="99"/>
      <c r="AK508" s="99"/>
      <c r="AL508" s="99"/>
      <c r="AM508" s="99"/>
      <c r="AN508" s="99"/>
      <c r="AO508" s="99"/>
      <c r="AP508" s="99"/>
      <c r="AQ508" s="99"/>
    </row>
    <row r="509" spans="1:43" ht="15.75" customHeight="1">
      <c r="A509" s="99"/>
      <c r="B509" s="99"/>
      <c r="C509" s="261"/>
      <c r="D509" s="232"/>
      <c r="E509" s="221"/>
      <c r="F509" s="99"/>
      <c r="G509" s="99"/>
      <c r="H509" s="222"/>
      <c r="I509" s="99"/>
      <c r="J509" s="35"/>
      <c r="K509" s="35"/>
      <c r="L509" s="35"/>
      <c r="M509" s="99"/>
      <c r="N509" s="99"/>
      <c r="O509" s="99"/>
      <c r="P509" s="223"/>
      <c r="Q509" s="224"/>
      <c r="R509" s="99"/>
      <c r="S509" s="99"/>
      <c r="T509" s="157"/>
      <c r="U509" s="158"/>
      <c r="V509" s="158"/>
      <c r="W509" s="110"/>
      <c r="X509" s="110"/>
      <c r="Y509" s="197"/>
      <c r="Z509" s="197"/>
      <c r="AA509" s="197"/>
      <c r="AB509" s="225"/>
      <c r="AC509" s="99"/>
      <c r="AD509" s="157"/>
      <c r="AE509" s="99"/>
      <c r="AF509" s="99"/>
      <c r="AG509" s="99"/>
      <c r="AH509" s="99"/>
      <c r="AI509" s="99"/>
      <c r="AJ509" s="99"/>
      <c r="AK509" s="99"/>
      <c r="AL509" s="99"/>
      <c r="AM509" s="99"/>
      <c r="AN509" s="99"/>
      <c r="AO509" s="99"/>
      <c r="AP509" s="99"/>
      <c r="AQ509" s="99"/>
    </row>
    <row r="510" spans="1:43" ht="15.75" customHeight="1">
      <c r="A510" s="99"/>
      <c r="B510" s="99"/>
      <c r="C510" s="261"/>
      <c r="D510" s="232"/>
      <c r="E510" s="221"/>
      <c r="F510" s="99"/>
      <c r="G510" s="99"/>
      <c r="H510" s="222"/>
      <c r="I510" s="99"/>
      <c r="J510" s="35"/>
      <c r="K510" s="35"/>
      <c r="L510" s="35"/>
      <c r="M510" s="99"/>
      <c r="N510" s="99"/>
      <c r="O510" s="99"/>
      <c r="P510" s="223"/>
      <c r="Q510" s="224"/>
      <c r="R510" s="99"/>
      <c r="S510" s="99"/>
      <c r="T510" s="157"/>
      <c r="U510" s="158"/>
      <c r="V510" s="158"/>
      <c r="W510" s="110"/>
      <c r="X510" s="110"/>
      <c r="Y510" s="197"/>
      <c r="Z510" s="197"/>
      <c r="AA510" s="197"/>
      <c r="AB510" s="225"/>
      <c r="AC510" s="99"/>
      <c r="AD510" s="157"/>
      <c r="AE510" s="99"/>
      <c r="AF510" s="99"/>
      <c r="AG510" s="99"/>
      <c r="AH510" s="99"/>
      <c r="AI510" s="99"/>
      <c r="AJ510" s="99"/>
      <c r="AK510" s="99"/>
      <c r="AL510" s="99"/>
      <c r="AM510" s="99"/>
      <c r="AN510" s="99"/>
      <c r="AO510" s="99"/>
      <c r="AP510" s="99"/>
      <c r="AQ510" s="99"/>
    </row>
    <row r="511" spans="1:43" ht="15.75" customHeight="1">
      <c r="A511" s="99"/>
      <c r="B511" s="99"/>
      <c r="C511" s="261"/>
      <c r="D511" s="232"/>
      <c r="E511" s="221"/>
      <c r="F511" s="99"/>
      <c r="G511" s="99"/>
      <c r="H511" s="222"/>
      <c r="I511" s="99"/>
      <c r="J511" s="35"/>
      <c r="K511" s="35"/>
      <c r="L511" s="35"/>
      <c r="M511" s="99"/>
      <c r="N511" s="99"/>
      <c r="O511" s="99"/>
      <c r="P511" s="223"/>
      <c r="Q511" s="224"/>
      <c r="R511" s="99"/>
      <c r="S511" s="99"/>
      <c r="T511" s="157"/>
      <c r="U511" s="158"/>
      <c r="V511" s="158"/>
      <c r="W511" s="110"/>
      <c r="X511" s="110"/>
      <c r="Y511" s="197"/>
      <c r="Z511" s="197"/>
      <c r="AA511" s="197"/>
      <c r="AB511" s="225"/>
      <c r="AC511" s="99"/>
      <c r="AD511" s="157"/>
      <c r="AE511" s="99"/>
      <c r="AF511" s="99"/>
      <c r="AG511" s="99"/>
      <c r="AH511" s="99"/>
      <c r="AI511" s="99"/>
      <c r="AJ511" s="99"/>
      <c r="AK511" s="99"/>
      <c r="AL511" s="99"/>
      <c r="AM511" s="99"/>
      <c r="AN511" s="99"/>
      <c r="AO511" s="99"/>
      <c r="AP511" s="99"/>
      <c r="AQ511" s="99"/>
    </row>
    <row r="512" spans="1:43" ht="15.75" customHeight="1">
      <c r="A512" s="99"/>
      <c r="B512" s="99"/>
      <c r="C512" s="261"/>
      <c r="D512" s="232"/>
      <c r="E512" s="221"/>
      <c r="F512" s="99"/>
      <c r="G512" s="99"/>
      <c r="H512" s="222"/>
      <c r="I512" s="99"/>
      <c r="J512" s="35"/>
      <c r="K512" s="35"/>
      <c r="L512" s="35"/>
      <c r="M512" s="99"/>
      <c r="N512" s="99"/>
      <c r="O512" s="99"/>
      <c r="P512" s="223"/>
      <c r="Q512" s="224"/>
      <c r="R512" s="99"/>
      <c r="S512" s="99"/>
      <c r="T512" s="157"/>
      <c r="U512" s="158"/>
      <c r="V512" s="158"/>
      <c r="W512" s="110"/>
      <c r="X512" s="110"/>
      <c r="Y512" s="197"/>
      <c r="Z512" s="197"/>
      <c r="AA512" s="197"/>
      <c r="AB512" s="225"/>
      <c r="AC512" s="99"/>
      <c r="AD512" s="157"/>
      <c r="AE512" s="99"/>
      <c r="AF512" s="99"/>
      <c r="AG512" s="99"/>
      <c r="AH512" s="99"/>
      <c r="AI512" s="99"/>
      <c r="AJ512" s="99"/>
      <c r="AK512" s="99"/>
      <c r="AL512" s="99"/>
      <c r="AM512" s="99"/>
      <c r="AN512" s="99"/>
      <c r="AO512" s="99"/>
      <c r="AP512" s="99"/>
      <c r="AQ512" s="99"/>
    </row>
    <row r="513" spans="1:43" ht="15.75" customHeight="1">
      <c r="A513" s="99"/>
      <c r="B513" s="99"/>
      <c r="C513" s="261"/>
      <c r="D513" s="232"/>
      <c r="E513" s="221"/>
      <c r="F513" s="99"/>
      <c r="G513" s="99"/>
      <c r="H513" s="222"/>
      <c r="I513" s="99"/>
      <c r="J513" s="35"/>
      <c r="K513" s="35"/>
      <c r="L513" s="35"/>
      <c r="M513" s="99"/>
      <c r="N513" s="99"/>
      <c r="O513" s="99"/>
      <c r="P513" s="223"/>
      <c r="Q513" s="224"/>
      <c r="R513" s="99"/>
      <c r="S513" s="99"/>
      <c r="T513" s="157"/>
      <c r="U513" s="158"/>
      <c r="V513" s="158"/>
      <c r="W513" s="110"/>
      <c r="X513" s="110"/>
      <c r="Y513" s="197"/>
      <c r="Z513" s="197"/>
      <c r="AA513" s="197"/>
      <c r="AB513" s="225"/>
      <c r="AC513" s="99"/>
      <c r="AD513" s="157"/>
      <c r="AE513" s="99"/>
      <c r="AF513" s="99"/>
      <c r="AG513" s="99"/>
      <c r="AH513" s="99"/>
      <c r="AI513" s="99"/>
      <c r="AJ513" s="99"/>
      <c r="AK513" s="99"/>
      <c r="AL513" s="99"/>
      <c r="AM513" s="99"/>
      <c r="AN513" s="99"/>
      <c r="AO513" s="99"/>
      <c r="AP513" s="99"/>
      <c r="AQ513" s="99"/>
    </row>
    <row r="514" spans="1:43" ht="15.75" customHeight="1">
      <c r="A514" s="99"/>
      <c r="B514" s="99"/>
      <c r="C514" s="261"/>
      <c r="D514" s="232"/>
      <c r="E514" s="221"/>
      <c r="F514" s="99"/>
      <c r="G514" s="99"/>
      <c r="H514" s="222"/>
      <c r="I514" s="99"/>
      <c r="J514" s="35"/>
      <c r="K514" s="35"/>
      <c r="L514" s="35"/>
      <c r="M514" s="99"/>
      <c r="N514" s="99"/>
      <c r="O514" s="99"/>
      <c r="P514" s="223"/>
      <c r="Q514" s="224"/>
      <c r="R514" s="99"/>
      <c r="S514" s="99"/>
      <c r="T514" s="157"/>
      <c r="U514" s="158"/>
      <c r="V514" s="158"/>
      <c r="W514" s="110"/>
      <c r="X514" s="110"/>
      <c r="Y514" s="197"/>
      <c r="Z514" s="197"/>
      <c r="AA514" s="197"/>
      <c r="AB514" s="225"/>
      <c r="AC514" s="99"/>
      <c r="AD514" s="157"/>
      <c r="AE514" s="99"/>
      <c r="AF514" s="99"/>
      <c r="AG514" s="99"/>
      <c r="AH514" s="99"/>
      <c r="AI514" s="99"/>
      <c r="AJ514" s="99"/>
      <c r="AK514" s="99"/>
      <c r="AL514" s="99"/>
      <c r="AM514" s="99"/>
      <c r="AN514" s="99"/>
      <c r="AO514" s="99"/>
      <c r="AP514" s="99"/>
      <c r="AQ514" s="99"/>
    </row>
    <row r="515" spans="1:43" ht="15.75" customHeight="1">
      <c r="A515" s="99"/>
      <c r="B515" s="99"/>
      <c r="C515" s="261"/>
      <c r="D515" s="232"/>
      <c r="E515" s="221"/>
      <c r="F515" s="99"/>
      <c r="G515" s="99"/>
      <c r="H515" s="222"/>
      <c r="I515" s="99"/>
      <c r="J515" s="35"/>
      <c r="K515" s="35"/>
      <c r="L515" s="35"/>
      <c r="M515" s="99"/>
      <c r="N515" s="99"/>
      <c r="O515" s="99"/>
      <c r="P515" s="223"/>
      <c r="Q515" s="224"/>
      <c r="R515" s="99"/>
      <c r="S515" s="99"/>
      <c r="T515" s="157"/>
      <c r="U515" s="158"/>
      <c r="V515" s="158"/>
      <c r="W515" s="110"/>
      <c r="X515" s="110"/>
      <c r="Y515" s="197"/>
      <c r="Z515" s="197"/>
      <c r="AA515" s="197"/>
      <c r="AB515" s="225"/>
      <c r="AC515" s="99"/>
      <c r="AD515" s="157"/>
      <c r="AE515" s="99"/>
      <c r="AF515" s="99"/>
      <c r="AG515" s="99"/>
      <c r="AH515" s="99"/>
      <c r="AI515" s="99"/>
      <c r="AJ515" s="99"/>
      <c r="AK515" s="99"/>
      <c r="AL515" s="99"/>
      <c r="AM515" s="99"/>
      <c r="AN515" s="99"/>
      <c r="AO515" s="99"/>
      <c r="AP515" s="99"/>
      <c r="AQ515" s="99"/>
    </row>
    <row r="516" spans="1:43" ht="15.75" customHeight="1">
      <c r="A516" s="99"/>
      <c r="B516" s="99"/>
      <c r="C516" s="261"/>
      <c r="D516" s="232"/>
      <c r="E516" s="221"/>
      <c r="F516" s="99"/>
      <c r="G516" s="99"/>
      <c r="H516" s="222"/>
      <c r="I516" s="99"/>
      <c r="J516" s="35"/>
      <c r="K516" s="35"/>
      <c r="L516" s="35"/>
      <c r="M516" s="99"/>
      <c r="N516" s="99"/>
      <c r="O516" s="99"/>
      <c r="P516" s="223"/>
      <c r="Q516" s="224"/>
      <c r="R516" s="99"/>
      <c r="S516" s="99"/>
      <c r="T516" s="157"/>
      <c r="U516" s="158"/>
      <c r="V516" s="158"/>
      <c r="W516" s="110"/>
      <c r="X516" s="110"/>
      <c r="Y516" s="197"/>
      <c r="Z516" s="197"/>
      <c r="AA516" s="197"/>
      <c r="AB516" s="225"/>
      <c r="AC516" s="99"/>
      <c r="AD516" s="157"/>
      <c r="AE516" s="99"/>
      <c r="AF516" s="99"/>
      <c r="AG516" s="99"/>
      <c r="AH516" s="99"/>
      <c r="AI516" s="99"/>
      <c r="AJ516" s="99"/>
      <c r="AK516" s="99"/>
      <c r="AL516" s="99"/>
      <c r="AM516" s="99"/>
      <c r="AN516" s="99"/>
      <c r="AO516" s="99"/>
      <c r="AP516" s="99"/>
      <c r="AQ516" s="99"/>
    </row>
    <row r="517" spans="1:43" ht="15.75" customHeight="1">
      <c r="A517" s="99"/>
      <c r="B517" s="99"/>
      <c r="C517" s="261"/>
      <c r="D517" s="232"/>
      <c r="E517" s="221"/>
      <c r="F517" s="99"/>
      <c r="G517" s="99"/>
      <c r="H517" s="222"/>
      <c r="I517" s="99"/>
      <c r="J517" s="35"/>
      <c r="K517" s="35"/>
      <c r="L517" s="35"/>
      <c r="M517" s="99"/>
      <c r="N517" s="99"/>
      <c r="O517" s="99"/>
      <c r="P517" s="223"/>
      <c r="Q517" s="224"/>
      <c r="R517" s="99"/>
      <c r="S517" s="99"/>
      <c r="T517" s="157"/>
      <c r="U517" s="158"/>
      <c r="V517" s="158"/>
      <c r="W517" s="110"/>
      <c r="X517" s="110"/>
      <c r="Y517" s="197"/>
      <c r="Z517" s="197"/>
      <c r="AA517" s="197"/>
      <c r="AB517" s="225"/>
      <c r="AC517" s="99"/>
      <c r="AD517" s="157"/>
      <c r="AE517" s="99"/>
      <c r="AF517" s="99"/>
      <c r="AG517" s="99"/>
      <c r="AH517" s="99"/>
      <c r="AI517" s="99"/>
      <c r="AJ517" s="99"/>
      <c r="AK517" s="99"/>
      <c r="AL517" s="99"/>
      <c r="AM517" s="99"/>
      <c r="AN517" s="99"/>
      <c r="AO517" s="99"/>
      <c r="AP517" s="99"/>
      <c r="AQ517" s="99"/>
    </row>
    <row r="518" spans="1:43" ht="15.75" customHeight="1">
      <c r="A518" s="99"/>
      <c r="B518" s="99"/>
      <c r="C518" s="261"/>
      <c r="D518" s="232"/>
      <c r="E518" s="221"/>
      <c r="F518" s="99"/>
      <c r="G518" s="99"/>
      <c r="H518" s="222"/>
      <c r="I518" s="99"/>
      <c r="J518" s="35"/>
      <c r="K518" s="35"/>
      <c r="L518" s="35"/>
      <c r="M518" s="99"/>
      <c r="N518" s="99"/>
      <c r="O518" s="99"/>
      <c r="P518" s="223"/>
      <c r="Q518" s="224"/>
      <c r="R518" s="99"/>
      <c r="S518" s="99"/>
      <c r="T518" s="157"/>
      <c r="U518" s="158"/>
      <c r="V518" s="158"/>
      <c r="W518" s="110"/>
      <c r="X518" s="110"/>
      <c r="Y518" s="197"/>
      <c r="Z518" s="197"/>
      <c r="AA518" s="197"/>
      <c r="AB518" s="225"/>
      <c r="AC518" s="99"/>
      <c r="AD518" s="157"/>
      <c r="AE518" s="99"/>
      <c r="AF518" s="99"/>
      <c r="AG518" s="99"/>
      <c r="AH518" s="99"/>
      <c r="AI518" s="99"/>
      <c r="AJ518" s="99"/>
      <c r="AK518" s="99"/>
      <c r="AL518" s="99"/>
      <c r="AM518" s="99"/>
      <c r="AN518" s="99"/>
      <c r="AO518" s="99"/>
      <c r="AP518" s="99"/>
      <c r="AQ518" s="99"/>
    </row>
    <row r="519" spans="1:43" ht="15.75" customHeight="1">
      <c r="A519" s="99"/>
      <c r="B519" s="99"/>
      <c r="C519" s="261"/>
      <c r="D519" s="232"/>
      <c r="E519" s="221"/>
      <c r="F519" s="99"/>
      <c r="G519" s="99"/>
      <c r="H519" s="222"/>
      <c r="I519" s="99"/>
      <c r="J519" s="35"/>
      <c r="K519" s="35"/>
      <c r="L519" s="35"/>
      <c r="M519" s="99"/>
      <c r="N519" s="99"/>
      <c r="O519" s="99"/>
      <c r="P519" s="223"/>
      <c r="Q519" s="224"/>
      <c r="R519" s="99"/>
      <c r="S519" s="99"/>
      <c r="T519" s="157"/>
      <c r="U519" s="158"/>
      <c r="V519" s="158"/>
      <c r="W519" s="110"/>
      <c r="X519" s="110"/>
      <c r="Y519" s="197"/>
      <c r="Z519" s="197"/>
      <c r="AA519" s="197"/>
      <c r="AB519" s="225"/>
      <c r="AC519" s="99"/>
      <c r="AD519" s="157"/>
      <c r="AE519" s="99"/>
      <c r="AF519" s="99"/>
      <c r="AG519" s="99"/>
      <c r="AH519" s="99"/>
      <c r="AI519" s="99"/>
      <c r="AJ519" s="99"/>
      <c r="AK519" s="99"/>
      <c r="AL519" s="99"/>
      <c r="AM519" s="99"/>
      <c r="AN519" s="99"/>
      <c r="AO519" s="99"/>
      <c r="AP519" s="99"/>
      <c r="AQ519" s="99"/>
    </row>
    <row r="520" spans="1:43" ht="15.75" customHeight="1">
      <c r="A520" s="99"/>
      <c r="B520" s="99"/>
      <c r="C520" s="261"/>
      <c r="D520" s="232"/>
      <c r="E520" s="221"/>
      <c r="F520" s="99"/>
      <c r="G520" s="99"/>
      <c r="H520" s="222"/>
      <c r="I520" s="99"/>
      <c r="J520" s="35"/>
      <c r="K520" s="35"/>
      <c r="L520" s="35"/>
      <c r="M520" s="99"/>
      <c r="N520" s="99"/>
      <c r="O520" s="99"/>
      <c r="P520" s="223"/>
      <c r="Q520" s="224"/>
      <c r="R520" s="99"/>
      <c r="S520" s="99"/>
      <c r="T520" s="157"/>
      <c r="U520" s="158"/>
      <c r="V520" s="158"/>
      <c r="W520" s="110"/>
      <c r="X520" s="110"/>
      <c r="Y520" s="197"/>
      <c r="Z520" s="197"/>
      <c r="AA520" s="197"/>
      <c r="AB520" s="225"/>
      <c r="AC520" s="99"/>
      <c r="AD520" s="157"/>
      <c r="AE520" s="99"/>
      <c r="AF520" s="99"/>
      <c r="AG520" s="99"/>
      <c r="AH520" s="99"/>
      <c r="AI520" s="99"/>
      <c r="AJ520" s="99"/>
      <c r="AK520" s="99"/>
      <c r="AL520" s="99"/>
      <c r="AM520" s="99"/>
      <c r="AN520" s="99"/>
      <c r="AO520" s="99"/>
      <c r="AP520" s="99"/>
      <c r="AQ520" s="99"/>
    </row>
    <row r="521" spans="1:43" ht="15.75" customHeight="1">
      <c r="A521" s="99"/>
      <c r="B521" s="99"/>
      <c r="C521" s="261"/>
      <c r="D521" s="232"/>
      <c r="E521" s="221"/>
      <c r="F521" s="99"/>
      <c r="G521" s="99"/>
      <c r="H521" s="222"/>
      <c r="I521" s="99"/>
      <c r="J521" s="35"/>
      <c r="K521" s="35"/>
      <c r="L521" s="35"/>
      <c r="M521" s="99"/>
      <c r="N521" s="99"/>
      <c r="O521" s="99"/>
      <c r="P521" s="223"/>
      <c r="Q521" s="224"/>
      <c r="R521" s="99"/>
      <c r="S521" s="99"/>
      <c r="T521" s="157"/>
      <c r="U521" s="158"/>
      <c r="V521" s="158"/>
      <c r="W521" s="110"/>
      <c r="X521" s="110"/>
      <c r="Y521" s="197"/>
      <c r="Z521" s="197"/>
      <c r="AA521" s="197"/>
      <c r="AB521" s="225"/>
      <c r="AC521" s="99"/>
      <c r="AD521" s="157"/>
      <c r="AE521" s="99"/>
      <c r="AF521" s="99"/>
      <c r="AG521" s="99"/>
      <c r="AH521" s="99"/>
      <c r="AI521" s="99"/>
      <c r="AJ521" s="99"/>
      <c r="AK521" s="99"/>
      <c r="AL521" s="99"/>
      <c r="AM521" s="99"/>
      <c r="AN521" s="99"/>
      <c r="AO521" s="99"/>
      <c r="AP521" s="99"/>
      <c r="AQ521" s="99"/>
    </row>
    <row r="522" spans="1:43" ht="15.75" customHeight="1">
      <c r="A522" s="99"/>
      <c r="B522" s="99"/>
      <c r="C522" s="261"/>
      <c r="D522" s="232"/>
      <c r="E522" s="221"/>
      <c r="F522" s="99"/>
      <c r="G522" s="99"/>
      <c r="H522" s="222"/>
      <c r="I522" s="99"/>
      <c r="J522" s="35"/>
      <c r="K522" s="35"/>
      <c r="L522" s="35"/>
      <c r="M522" s="99"/>
      <c r="N522" s="99"/>
      <c r="O522" s="99"/>
      <c r="P522" s="223"/>
      <c r="Q522" s="224"/>
      <c r="R522" s="99"/>
      <c r="S522" s="99"/>
      <c r="T522" s="157"/>
      <c r="U522" s="158"/>
      <c r="V522" s="158"/>
      <c r="W522" s="110"/>
      <c r="X522" s="110"/>
      <c r="Y522" s="197"/>
      <c r="Z522" s="197"/>
      <c r="AA522" s="197"/>
      <c r="AB522" s="225"/>
      <c r="AC522" s="99"/>
      <c r="AD522" s="157"/>
      <c r="AE522" s="99"/>
      <c r="AF522" s="99"/>
      <c r="AG522" s="99"/>
      <c r="AH522" s="99"/>
      <c r="AI522" s="99"/>
      <c r="AJ522" s="99"/>
      <c r="AK522" s="99"/>
      <c r="AL522" s="99"/>
      <c r="AM522" s="99"/>
      <c r="AN522" s="99"/>
      <c r="AO522" s="99"/>
      <c r="AP522" s="99"/>
      <c r="AQ522" s="99"/>
    </row>
    <row r="523" spans="1:43" ht="15.75" customHeight="1">
      <c r="A523" s="99"/>
      <c r="B523" s="99"/>
      <c r="C523" s="261"/>
      <c r="D523" s="232"/>
      <c r="E523" s="221"/>
      <c r="F523" s="99"/>
      <c r="G523" s="99"/>
      <c r="H523" s="222"/>
      <c r="I523" s="99"/>
      <c r="J523" s="35"/>
      <c r="K523" s="35"/>
      <c r="L523" s="35"/>
      <c r="M523" s="99"/>
      <c r="N523" s="99"/>
      <c r="O523" s="99"/>
      <c r="P523" s="223"/>
      <c r="Q523" s="224"/>
      <c r="R523" s="99"/>
      <c r="S523" s="99"/>
      <c r="T523" s="157"/>
      <c r="U523" s="158"/>
      <c r="V523" s="158"/>
      <c r="W523" s="110"/>
      <c r="X523" s="110"/>
      <c r="Y523" s="197"/>
      <c r="Z523" s="197"/>
      <c r="AA523" s="197"/>
      <c r="AB523" s="225"/>
      <c r="AC523" s="99"/>
      <c r="AD523" s="157"/>
      <c r="AE523" s="99"/>
      <c r="AF523" s="99"/>
      <c r="AG523" s="99"/>
      <c r="AH523" s="99"/>
      <c r="AI523" s="99"/>
      <c r="AJ523" s="99"/>
      <c r="AK523" s="99"/>
      <c r="AL523" s="99"/>
      <c r="AM523" s="99"/>
      <c r="AN523" s="99"/>
      <c r="AO523" s="99"/>
      <c r="AP523" s="99"/>
      <c r="AQ523" s="99"/>
    </row>
    <row r="524" spans="1:43" ht="15.75" customHeight="1">
      <c r="A524" s="99"/>
      <c r="B524" s="99"/>
      <c r="C524" s="261"/>
      <c r="D524" s="232"/>
      <c r="E524" s="221"/>
      <c r="F524" s="99"/>
      <c r="G524" s="99"/>
      <c r="H524" s="222"/>
      <c r="I524" s="99"/>
      <c r="J524" s="35"/>
      <c r="K524" s="35"/>
      <c r="L524" s="35"/>
      <c r="M524" s="99"/>
      <c r="N524" s="99"/>
      <c r="O524" s="99"/>
      <c r="P524" s="223"/>
      <c r="Q524" s="224"/>
      <c r="R524" s="99"/>
      <c r="S524" s="99"/>
      <c r="T524" s="157"/>
      <c r="U524" s="158"/>
      <c r="V524" s="158"/>
      <c r="W524" s="110"/>
      <c r="X524" s="110"/>
      <c r="Y524" s="197"/>
      <c r="Z524" s="197"/>
      <c r="AA524" s="197"/>
      <c r="AB524" s="225"/>
      <c r="AC524" s="99"/>
      <c r="AD524" s="157"/>
      <c r="AE524" s="99"/>
      <c r="AF524" s="99"/>
      <c r="AG524" s="99"/>
      <c r="AH524" s="99"/>
      <c r="AI524" s="99"/>
      <c r="AJ524" s="99"/>
      <c r="AK524" s="99"/>
      <c r="AL524" s="99"/>
      <c r="AM524" s="99"/>
      <c r="AN524" s="99"/>
      <c r="AO524" s="99"/>
      <c r="AP524" s="99"/>
      <c r="AQ524" s="99"/>
    </row>
    <row r="525" spans="1:43" ht="15.75" customHeight="1">
      <c r="A525" s="99"/>
      <c r="B525" s="99"/>
      <c r="C525" s="261"/>
      <c r="D525" s="232"/>
      <c r="E525" s="221"/>
      <c r="F525" s="99"/>
      <c r="G525" s="99"/>
      <c r="H525" s="222"/>
      <c r="I525" s="99"/>
      <c r="J525" s="35"/>
      <c r="K525" s="35"/>
      <c r="L525" s="35"/>
      <c r="M525" s="99"/>
      <c r="N525" s="99"/>
      <c r="O525" s="99"/>
      <c r="P525" s="223"/>
      <c r="Q525" s="224"/>
      <c r="R525" s="99"/>
      <c r="S525" s="99"/>
      <c r="T525" s="157"/>
      <c r="U525" s="158"/>
      <c r="V525" s="158"/>
      <c r="W525" s="110"/>
      <c r="X525" s="110"/>
      <c r="Y525" s="197"/>
      <c r="Z525" s="197"/>
      <c r="AA525" s="197"/>
      <c r="AB525" s="225"/>
      <c r="AC525" s="99"/>
      <c r="AD525" s="157"/>
      <c r="AE525" s="99"/>
      <c r="AF525" s="99"/>
      <c r="AG525" s="99"/>
      <c r="AH525" s="99"/>
      <c r="AI525" s="99"/>
      <c r="AJ525" s="99"/>
      <c r="AK525" s="99"/>
      <c r="AL525" s="99"/>
      <c r="AM525" s="99"/>
      <c r="AN525" s="99"/>
      <c r="AO525" s="99"/>
      <c r="AP525" s="99"/>
      <c r="AQ525" s="99"/>
    </row>
    <row r="526" spans="1:43" ht="15.75" customHeight="1">
      <c r="A526" s="99"/>
      <c r="B526" s="99"/>
      <c r="C526" s="261"/>
      <c r="D526" s="232"/>
      <c r="E526" s="221"/>
      <c r="F526" s="99"/>
      <c r="G526" s="99"/>
      <c r="H526" s="222"/>
      <c r="I526" s="99"/>
      <c r="J526" s="35"/>
      <c r="K526" s="35"/>
      <c r="L526" s="35"/>
      <c r="M526" s="99"/>
      <c r="N526" s="99"/>
      <c r="O526" s="99"/>
      <c r="P526" s="223"/>
      <c r="Q526" s="224"/>
      <c r="R526" s="99"/>
      <c r="S526" s="99"/>
      <c r="T526" s="157"/>
      <c r="U526" s="158"/>
      <c r="V526" s="158"/>
      <c r="W526" s="110"/>
      <c r="X526" s="110"/>
      <c r="Y526" s="197"/>
      <c r="Z526" s="197"/>
      <c r="AA526" s="197"/>
      <c r="AB526" s="225"/>
      <c r="AC526" s="99"/>
      <c r="AD526" s="157"/>
      <c r="AE526" s="99"/>
      <c r="AF526" s="99"/>
      <c r="AG526" s="99"/>
      <c r="AH526" s="99"/>
      <c r="AI526" s="99"/>
      <c r="AJ526" s="99"/>
      <c r="AK526" s="99"/>
      <c r="AL526" s="99"/>
      <c r="AM526" s="99"/>
      <c r="AN526" s="99"/>
      <c r="AO526" s="99"/>
      <c r="AP526" s="99"/>
      <c r="AQ526" s="99"/>
    </row>
    <row r="527" spans="1:43" ht="15.75" customHeight="1">
      <c r="A527" s="99"/>
      <c r="B527" s="99"/>
      <c r="C527" s="261"/>
      <c r="D527" s="232"/>
      <c r="E527" s="221"/>
      <c r="F527" s="99"/>
      <c r="G527" s="99"/>
      <c r="H527" s="222"/>
      <c r="I527" s="99"/>
      <c r="J527" s="35"/>
      <c r="K527" s="35"/>
      <c r="L527" s="35"/>
      <c r="M527" s="99"/>
      <c r="N527" s="99"/>
      <c r="O527" s="99"/>
      <c r="P527" s="223"/>
      <c r="Q527" s="224"/>
      <c r="R527" s="99"/>
      <c r="S527" s="99"/>
      <c r="T527" s="157"/>
      <c r="U527" s="158"/>
      <c r="V527" s="158"/>
      <c r="W527" s="110"/>
      <c r="X527" s="110"/>
      <c r="Y527" s="197"/>
      <c r="Z527" s="197"/>
      <c r="AA527" s="197"/>
      <c r="AB527" s="225"/>
      <c r="AC527" s="99"/>
      <c r="AD527" s="157"/>
      <c r="AE527" s="99"/>
      <c r="AF527" s="99"/>
      <c r="AG527" s="99"/>
      <c r="AH527" s="99"/>
      <c r="AI527" s="99"/>
      <c r="AJ527" s="99"/>
      <c r="AK527" s="99"/>
      <c r="AL527" s="99"/>
      <c r="AM527" s="99"/>
      <c r="AN527" s="99"/>
      <c r="AO527" s="99"/>
      <c r="AP527" s="99"/>
      <c r="AQ527" s="99"/>
    </row>
    <row r="528" spans="1:43" ht="15.75" customHeight="1">
      <c r="A528" s="99"/>
      <c r="B528" s="99"/>
      <c r="C528" s="261"/>
      <c r="D528" s="232"/>
      <c r="E528" s="221"/>
      <c r="F528" s="99"/>
      <c r="G528" s="99"/>
      <c r="H528" s="222"/>
      <c r="I528" s="99"/>
      <c r="J528" s="35"/>
      <c r="K528" s="35"/>
      <c r="L528" s="35"/>
      <c r="M528" s="99"/>
      <c r="N528" s="99"/>
      <c r="O528" s="99"/>
      <c r="P528" s="223"/>
      <c r="Q528" s="224"/>
      <c r="R528" s="99"/>
      <c r="S528" s="99"/>
      <c r="T528" s="157"/>
      <c r="U528" s="158"/>
      <c r="V528" s="158"/>
      <c r="W528" s="110"/>
      <c r="X528" s="110"/>
      <c r="Y528" s="197"/>
      <c r="Z528" s="197"/>
      <c r="AA528" s="197"/>
      <c r="AB528" s="225"/>
      <c r="AC528" s="99"/>
      <c r="AD528" s="157"/>
      <c r="AE528" s="99"/>
      <c r="AF528" s="99"/>
      <c r="AG528" s="99"/>
      <c r="AH528" s="99"/>
      <c r="AI528" s="99"/>
      <c r="AJ528" s="99"/>
      <c r="AK528" s="99"/>
      <c r="AL528" s="99"/>
      <c r="AM528" s="99"/>
      <c r="AN528" s="99"/>
      <c r="AO528" s="99"/>
      <c r="AP528" s="99"/>
      <c r="AQ528" s="99"/>
    </row>
    <row r="529" spans="1:43" ht="15.75" customHeight="1">
      <c r="A529" s="99"/>
      <c r="B529" s="99"/>
      <c r="C529" s="261"/>
      <c r="D529" s="232"/>
      <c r="E529" s="221"/>
      <c r="F529" s="99"/>
      <c r="G529" s="99"/>
      <c r="H529" s="222"/>
      <c r="I529" s="99"/>
      <c r="J529" s="35"/>
      <c r="K529" s="35"/>
      <c r="L529" s="35"/>
      <c r="M529" s="99"/>
      <c r="N529" s="99"/>
      <c r="O529" s="99"/>
      <c r="P529" s="223"/>
      <c r="Q529" s="224"/>
      <c r="R529" s="99"/>
      <c r="S529" s="99"/>
      <c r="T529" s="157"/>
      <c r="U529" s="158"/>
      <c r="V529" s="158"/>
      <c r="W529" s="110"/>
      <c r="X529" s="110"/>
      <c r="Y529" s="197"/>
      <c r="Z529" s="197"/>
      <c r="AA529" s="197"/>
      <c r="AB529" s="225"/>
      <c r="AC529" s="99"/>
      <c r="AD529" s="157"/>
      <c r="AE529" s="99"/>
      <c r="AF529" s="99"/>
      <c r="AG529" s="99"/>
      <c r="AH529" s="99"/>
      <c r="AI529" s="99"/>
      <c r="AJ529" s="99"/>
      <c r="AK529" s="99"/>
      <c r="AL529" s="99"/>
      <c r="AM529" s="99"/>
      <c r="AN529" s="99"/>
      <c r="AO529" s="99"/>
      <c r="AP529" s="99"/>
      <c r="AQ529" s="99"/>
    </row>
    <row r="530" spans="1:43" ht="15.75" customHeight="1">
      <c r="A530" s="99"/>
      <c r="B530" s="99"/>
      <c r="C530" s="261"/>
      <c r="D530" s="232"/>
      <c r="E530" s="221"/>
      <c r="F530" s="99"/>
      <c r="G530" s="99"/>
      <c r="H530" s="222"/>
      <c r="I530" s="99"/>
      <c r="J530" s="35"/>
      <c r="K530" s="35"/>
      <c r="L530" s="35"/>
      <c r="M530" s="99"/>
      <c r="N530" s="99"/>
      <c r="O530" s="99"/>
      <c r="P530" s="223"/>
      <c r="Q530" s="224"/>
      <c r="R530" s="99"/>
      <c r="S530" s="99"/>
      <c r="T530" s="157"/>
      <c r="U530" s="158"/>
      <c r="V530" s="158"/>
      <c r="W530" s="110"/>
      <c r="X530" s="110"/>
      <c r="Y530" s="197"/>
      <c r="Z530" s="197"/>
      <c r="AA530" s="197"/>
      <c r="AB530" s="225"/>
      <c r="AC530" s="99"/>
      <c r="AD530" s="157"/>
      <c r="AE530" s="99"/>
      <c r="AF530" s="99"/>
      <c r="AG530" s="99"/>
      <c r="AH530" s="99"/>
      <c r="AI530" s="99"/>
      <c r="AJ530" s="99"/>
      <c r="AK530" s="99"/>
      <c r="AL530" s="99"/>
      <c r="AM530" s="99"/>
      <c r="AN530" s="99"/>
      <c r="AO530" s="99"/>
      <c r="AP530" s="99"/>
      <c r="AQ530" s="99"/>
    </row>
    <row r="531" spans="1:43" ht="15.75" customHeight="1">
      <c r="A531" s="99"/>
      <c r="B531" s="99"/>
      <c r="C531" s="261"/>
      <c r="D531" s="232"/>
      <c r="E531" s="221"/>
      <c r="F531" s="99"/>
      <c r="G531" s="99"/>
      <c r="H531" s="222"/>
      <c r="I531" s="99"/>
      <c r="J531" s="35"/>
      <c r="K531" s="35"/>
      <c r="L531" s="35"/>
      <c r="M531" s="99"/>
      <c r="N531" s="99"/>
      <c r="O531" s="99"/>
      <c r="P531" s="223"/>
      <c r="Q531" s="224"/>
      <c r="R531" s="99"/>
      <c r="S531" s="99"/>
      <c r="T531" s="157"/>
      <c r="U531" s="158"/>
      <c r="V531" s="158"/>
      <c r="W531" s="110"/>
      <c r="X531" s="110"/>
      <c r="Y531" s="197"/>
      <c r="Z531" s="197"/>
      <c r="AA531" s="197"/>
      <c r="AB531" s="225"/>
      <c r="AC531" s="99"/>
      <c r="AD531" s="157"/>
      <c r="AE531" s="99"/>
      <c r="AF531" s="99"/>
      <c r="AG531" s="99"/>
      <c r="AH531" s="99"/>
      <c r="AI531" s="99"/>
      <c r="AJ531" s="99"/>
      <c r="AK531" s="99"/>
      <c r="AL531" s="99"/>
      <c r="AM531" s="99"/>
      <c r="AN531" s="99"/>
      <c r="AO531" s="99"/>
      <c r="AP531" s="99"/>
      <c r="AQ531" s="99"/>
    </row>
    <row r="532" spans="1:43" ht="15.75" customHeight="1">
      <c r="A532" s="99"/>
      <c r="B532" s="99"/>
      <c r="C532" s="261"/>
      <c r="D532" s="232"/>
      <c r="E532" s="221"/>
      <c r="F532" s="99"/>
      <c r="G532" s="99"/>
      <c r="H532" s="222"/>
      <c r="I532" s="99"/>
      <c r="J532" s="35"/>
      <c r="K532" s="35"/>
      <c r="L532" s="35"/>
      <c r="M532" s="99"/>
      <c r="N532" s="99"/>
      <c r="O532" s="99"/>
      <c r="P532" s="223"/>
      <c r="Q532" s="224"/>
      <c r="R532" s="99"/>
      <c r="S532" s="99"/>
      <c r="T532" s="157"/>
      <c r="U532" s="158"/>
      <c r="V532" s="158"/>
      <c r="W532" s="110"/>
      <c r="X532" s="110"/>
      <c r="Y532" s="197"/>
      <c r="Z532" s="197"/>
      <c r="AA532" s="197"/>
      <c r="AB532" s="225"/>
      <c r="AC532" s="99"/>
      <c r="AD532" s="157"/>
      <c r="AE532" s="99"/>
      <c r="AF532" s="99"/>
      <c r="AG532" s="99"/>
      <c r="AH532" s="99"/>
      <c r="AI532" s="99"/>
      <c r="AJ532" s="99"/>
      <c r="AK532" s="99"/>
      <c r="AL532" s="99"/>
      <c r="AM532" s="99"/>
      <c r="AN532" s="99"/>
      <c r="AO532" s="99"/>
      <c r="AP532" s="99"/>
      <c r="AQ532" s="99"/>
    </row>
    <row r="533" spans="1:43" ht="15.75" customHeight="1">
      <c r="A533" s="99"/>
      <c r="B533" s="99"/>
      <c r="C533" s="261"/>
      <c r="D533" s="232"/>
      <c r="E533" s="221"/>
      <c r="F533" s="99"/>
      <c r="G533" s="99"/>
      <c r="H533" s="222"/>
      <c r="I533" s="99"/>
      <c r="J533" s="35"/>
      <c r="K533" s="35"/>
      <c r="L533" s="35"/>
      <c r="M533" s="99"/>
      <c r="N533" s="99"/>
      <c r="O533" s="99"/>
      <c r="P533" s="223"/>
      <c r="Q533" s="224"/>
      <c r="R533" s="99"/>
      <c r="S533" s="99"/>
      <c r="T533" s="157"/>
      <c r="U533" s="158"/>
      <c r="V533" s="158"/>
      <c r="W533" s="110"/>
      <c r="X533" s="110"/>
      <c r="Y533" s="197"/>
      <c r="Z533" s="197"/>
      <c r="AA533" s="197"/>
      <c r="AB533" s="225"/>
      <c r="AC533" s="99"/>
      <c r="AD533" s="157"/>
      <c r="AE533" s="99"/>
      <c r="AF533" s="99"/>
      <c r="AG533" s="99"/>
      <c r="AH533" s="99"/>
      <c r="AI533" s="99"/>
      <c r="AJ533" s="99"/>
      <c r="AK533" s="99"/>
      <c r="AL533" s="99"/>
      <c r="AM533" s="99"/>
      <c r="AN533" s="99"/>
      <c r="AO533" s="99"/>
      <c r="AP533" s="99"/>
      <c r="AQ533" s="99"/>
    </row>
    <row r="534" spans="1:43" ht="15.75" customHeight="1">
      <c r="A534" s="99"/>
      <c r="B534" s="99"/>
      <c r="C534" s="261"/>
      <c r="D534" s="232"/>
      <c r="E534" s="221"/>
      <c r="F534" s="99"/>
      <c r="G534" s="99"/>
      <c r="H534" s="222"/>
      <c r="I534" s="99"/>
      <c r="J534" s="35"/>
      <c r="K534" s="35"/>
      <c r="L534" s="35"/>
      <c r="M534" s="99"/>
      <c r="N534" s="99"/>
      <c r="O534" s="99"/>
      <c r="P534" s="223"/>
      <c r="Q534" s="224"/>
      <c r="R534" s="99"/>
      <c r="S534" s="99"/>
      <c r="T534" s="157"/>
      <c r="U534" s="158"/>
      <c r="V534" s="158"/>
      <c r="W534" s="110"/>
      <c r="X534" s="110"/>
      <c r="Y534" s="197"/>
      <c r="Z534" s="197"/>
      <c r="AA534" s="197"/>
      <c r="AB534" s="225"/>
      <c r="AC534" s="99"/>
      <c r="AD534" s="157"/>
      <c r="AE534" s="99"/>
      <c r="AF534" s="99"/>
      <c r="AG534" s="99"/>
      <c r="AH534" s="99"/>
      <c r="AI534" s="99"/>
      <c r="AJ534" s="99"/>
      <c r="AK534" s="99"/>
      <c r="AL534" s="99"/>
      <c r="AM534" s="99"/>
      <c r="AN534" s="99"/>
      <c r="AO534" s="99"/>
      <c r="AP534" s="99"/>
      <c r="AQ534" s="99"/>
    </row>
    <row r="535" spans="1:43" ht="15.75" customHeight="1">
      <c r="A535" s="99"/>
      <c r="B535" s="99"/>
      <c r="C535" s="261"/>
      <c r="D535" s="232"/>
      <c r="E535" s="221"/>
      <c r="F535" s="99"/>
      <c r="G535" s="99"/>
      <c r="H535" s="222"/>
      <c r="I535" s="99"/>
      <c r="J535" s="35"/>
      <c r="K535" s="35"/>
      <c r="L535" s="35"/>
      <c r="M535" s="99"/>
      <c r="N535" s="99"/>
      <c r="O535" s="99"/>
      <c r="P535" s="223"/>
      <c r="Q535" s="224"/>
      <c r="R535" s="99"/>
      <c r="S535" s="99"/>
      <c r="T535" s="157"/>
      <c r="U535" s="158"/>
      <c r="V535" s="158"/>
      <c r="W535" s="110"/>
      <c r="X535" s="110"/>
      <c r="Y535" s="197"/>
      <c r="Z535" s="197"/>
      <c r="AA535" s="197"/>
      <c r="AB535" s="225"/>
      <c r="AC535" s="99"/>
      <c r="AD535" s="157"/>
      <c r="AE535" s="99"/>
      <c r="AF535" s="99"/>
      <c r="AG535" s="99"/>
      <c r="AH535" s="99"/>
      <c r="AI535" s="99"/>
      <c r="AJ535" s="99"/>
      <c r="AK535" s="99"/>
      <c r="AL535" s="99"/>
      <c r="AM535" s="99"/>
      <c r="AN535" s="99"/>
      <c r="AO535" s="99"/>
      <c r="AP535" s="99"/>
      <c r="AQ535" s="99"/>
    </row>
    <row r="536" spans="1:43" ht="15.75" customHeight="1">
      <c r="A536" s="99"/>
      <c r="B536" s="99"/>
      <c r="C536" s="261"/>
      <c r="D536" s="232"/>
      <c r="E536" s="221"/>
      <c r="F536" s="99"/>
      <c r="G536" s="99"/>
      <c r="H536" s="222"/>
      <c r="I536" s="99"/>
      <c r="J536" s="35"/>
      <c r="K536" s="35"/>
      <c r="L536" s="35"/>
      <c r="M536" s="99"/>
      <c r="N536" s="99"/>
      <c r="O536" s="99"/>
      <c r="P536" s="223"/>
      <c r="Q536" s="224"/>
      <c r="R536" s="99"/>
      <c r="S536" s="99"/>
      <c r="T536" s="157"/>
      <c r="U536" s="158"/>
      <c r="V536" s="158"/>
      <c r="W536" s="110"/>
      <c r="X536" s="110"/>
      <c r="Y536" s="197"/>
      <c r="Z536" s="197"/>
      <c r="AA536" s="197"/>
      <c r="AB536" s="225"/>
      <c r="AC536" s="99"/>
      <c r="AD536" s="157"/>
      <c r="AE536" s="99"/>
      <c r="AF536" s="99"/>
      <c r="AG536" s="99"/>
      <c r="AH536" s="99"/>
      <c r="AI536" s="99"/>
      <c r="AJ536" s="99"/>
      <c r="AK536" s="99"/>
      <c r="AL536" s="99"/>
      <c r="AM536" s="99"/>
      <c r="AN536" s="99"/>
      <c r="AO536" s="99"/>
      <c r="AP536" s="99"/>
      <c r="AQ536" s="99"/>
    </row>
    <row r="537" spans="1:43" ht="15.75" customHeight="1">
      <c r="A537" s="99"/>
      <c r="B537" s="99"/>
      <c r="C537" s="261"/>
      <c r="D537" s="232"/>
      <c r="E537" s="221"/>
      <c r="F537" s="99"/>
      <c r="G537" s="99"/>
      <c r="H537" s="222"/>
      <c r="I537" s="99"/>
      <c r="J537" s="35"/>
      <c r="K537" s="35"/>
      <c r="L537" s="35"/>
      <c r="M537" s="99"/>
      <c r="N537" s="99"/>
      <c r="O537" s="99"/>
      <c r="P537" s="223"/>
      <c r="Q537" s="224"/>
      <c r="R537" s="99"/>
      <c r="S537" s="99"/>
      <c r="T537" s="157"/>
      <c r="U537" s="158"/>
      <c r="V537" s="158"/>
      <c r="W537" s="110"/>
      <c r="X537" s="110"/>
      <c r="Y537" s="197"/>
      <c r="Z537" s="197"/>
      <c r="AA537" s="197"/>
      <c r="AB537" s="225"/>
      <c r="AC537" s="99"/>
      <c r="AD537" s="157"/>
      <c r="AE537" s="99"/>
      <c r="AF537" s="99"/>
      <c r="AG537" s="99"/>
      <c r="AH537" s="99"/>
      <c r="AI537" s="99"/>
      <c r="AJ537" s="99"/>
      <c r="AK537" s="99"/>
      <c r="AL537" s="99"/>
      <c r="AM537" s="99"/>
      <c r="AN537" s="99"/>
      <c r="AO537" s="99"/>
      <c r="AP537" s="99"/>
      <c r="AQ537" s="99"/>
    </row>
    <row r="538" spans="1:43" ht="15.75" customHeight="1">
      <c r="A538" s="99"/>
      <c r="B538" s="99"/>
      <c r="C538" s="261"/>
      <c r="D538" s="232"/>
      <c r="E538" s="221"/>
      <c r="F538" s="99"/>
      <c r="G538" s="99"/>
      <c r="H538" s="222"/>
      <c r="I538" s="99"/>
      <c r="J538" s="35"/>
      <c r="K538" s="35"/>
      <c r="L538" s="35"/>
      <c r="M538" s="99"/>
      <c r="N538" s="99"/>
      <c r="O538" s="99"/>
      <c r="P538" s="223"/>
      <c r="Q538" s="224"/>
      <c r="R538" s="99"/>
      <c r="S538" s="99"/>
      <c r="T538" s="157"/>
      <c r="U538" s="158"/>
      <c r="V538" s="158"/>
      <c r="W538" s="110"/>
      <c r="X538" s="110"/>
      <c r="Y538" s="197"/>
      <c r="Z538" s="197"/>
      <c r="AA538" s="197"/>
      <c r="AB538" s="225"/>
      <c r="AC538" s="99"/>
      <c r="AD538" s="157"/>
      <c r="AE538" s="99"/>
      <c r="AF538" s="99"/>
      <c r="AG538" s="99"/>
      <c r="AH538" s="99"/>
      <c r="AI538" s="99"/>
      <c r="AJ538" s="99"/>
      <c r="AK538" s="99"/>
      <c r="AL538" s="99"/>
      <c r="AM538" s="99"/>
      <c r="AN538" s="99"/>
      <c r="AO538" s="99"/>
      <c r="AP538" s="99"/>
      <c r="AQ538" s="99"/>
    </row>
    <row r="539" spans="1:43" ht="15.75" customHeight="1">
      <c r="A539" s="99"/>
      <c r="B539" s="99"/>
      <c r="C539" s="261"/>
      <c r="D539" s="232"/>
      <c r="E539" s="221"/>
      <c r="F539" s="99"/>
      <c r="G539" s="99"/>
      <c r="H539" s="222"/>
      <c r="I539" s="99"/>
      <c r="J539" s="35"/>
      <c r="K539" s="35"/>
      <c r="L539" s="35"/>
      <c r="M539" s="99"/>
      <c r="N539" s="99"/>
      <c r="O539" s="99"/>
      <c r="P539" s="223"/>
      <c r="Q539" s="224"/>
      <c r="R539" s="99"/>
      <c r="S539" s="99"/>
      <c r="T539" s="157"/>
      <c r="U539" s="158"/>
      <c r="V539" s="158"/>
      <c r="W539" s="110"/>
      <c r="X539" s="110"/>
      <c r="Y539" s="197"/>
      <c r="Z539" s="197"/>
      <c r="AA539" s="197"/>
      <c r="AB539" s="225"/>
      <c r="AC539" s="99"/>
      <c r="AD539" s="157"/>
      <c r="AE539" s="99"/>
      <c r="AF539" s="99"/>
      <c r="AG539" s="99"/>
      <c r="AH539" s="99"/>
      <c r="AI539" s="99"/>
      <c r="AJ539" s="99"/>
      <c r="AK539" s="99"/>
      <c r="AL539" s="99"/>
      <c r="AM539" s="99"/>
      <c r="AN539" s="99"/>
      <c r="AO539" s="99"/>
      <c r="AP539" s="99"/>
      <c r="AQ539" s="99"/>
    </row>
    <row r="540" spans="1:43" ht="15.75" customHeight="1">
      <c r="A540" s="99"/>
      <c r="B540" s="99"/>
      <c r="C540" s="261"/>
      <c r="D540" s="232"/>
      <c r="E540" s="221"/>
      <c r="F540" s="99"/>
      <c r="G540" s="99"/>
      <c r="H540" s="222"/>
      <c r="I540" s="99"/>
      <c r="J540" s="35"/>
      <c r="K540" s="35"/>
      <c r="L540" s="35"/>
      <c r="M540" s="99"/>
      <c r="N540" s="99"/>
      <c r="O540" s="99"/>
      <c r="P540" s="223"/>
      <c r="Q540" s="224"/>
      <c r="R540" s="99"/>
      <c r="S540" s="99"/>
      <c r="T540" s="157"/>
      <c r="U540" s="158"/>
      <c r="V540" s="158"/>
      <c r="W540" s="110"/>
      <c r="X540" s="110"/>
      <c r="Y540" s="197"/>
      <c r="Z540" s="197"/>
      <c r="AA540" s="197"/>
      <c r="AB540" s="225"/>
      <c r="AC540" s="99"/>
      <c r="AD540" s="157"/>
      <c r="AE540" s="99"/>
      <c r="AF540" s="99"/>
      <c r="AG540" s="99"/>
      <c r="AH540" s="99"/>
      <c r="AI540" s="99"/>
      <c r="AJ540" s="99"/>
      <c r="AK540" s="99"/>
      <c r="AL540" s="99"/>
      <c r="AM540" s="99"/>
      <c r="AN540" s="99"/>
      <c r="AO540" s="99"/>
      <c r="AP540" s="99"/>
      <c r="AQ540" s="99"/>
    </row>
    <row r="541" spans="1:43" ht="15.75" customHeight="1">
      <c r="A541" s="99"/>
      <c r="B541" s="99"/>
      <c r="C541" s="261"/>
      <c r="D541" s="232"/>
      <c r="E541" s="221"/>
      <c r="F541" s="99"/>
      <c r="G541" s="99"/>
      <c r="H541" s="222"/>
      <c r="I541" s="99"/>
      <c r="J541" s="35"/>
      <c r="K541" s="35"/>
      <c r="L541" s="35"/>
      <c r="M541" s="99"/>
      <c r="N541" s="99"/>
      <c r="O541" s="99"/>
      <c r="P541" s="223"/>
      <c r="Q541" s="224"/>
      <c r="R541" s="99"/>
      <c r="S541" s="99"/>
      <c r="T541" s="157"/>
      <c r="U541" s="158"/>
      <c r="V541" s="158"/>
      <c r="W541" s="110"/>
      <c r="X541" s="110"/>
      <c r="Y541" s="197"/>
      <c r="Z541" s="197"/>
      <c r="AA541" s="197"/>
      <c r="AB541" s="225"/>
      <c r="AC541" s="99"/>
      <c r="AD541" s="157"/>
      <c r="AE541" s="99"/>
      <c r="AF541" s="99"/>
      <c r="AG541" s="99"/>
      <c r="AH541" s="99"/>
      <c r="AI541" s="99"/>
      <c r="AJ541" s="99"/>
      <c r="AK541" s="99"/>
      <c r="AL541" s="99"/>
      <c r="AM541" s="99"/>
      <c r="AN541" s="99"/>
      <c r="AO541" s="99"/>
      <c r="AP541" s="99"/>
      <c r="AQ541" s="99"/>
    </row>
    <row r="542" spans="1:43" ht="15.75" customHeight="1">
      <c r="A542" s="99"/>
      <c r="B542" s="99"/>
      <c r="C542" s="261"/>
      <c r="D542" s="232"/>
      <c r="E542" s="221"/>
      <c r="F542" s="99"/>
      <c r="G542" s="99"/>
      <c r="H542" s="222"/>
      <c r="I542" s="99"/>
      <c r="J542" s="35"/>
      <c r="K542" s="35"/>
      <c r="L542" s="35"/>
      <c r="M542" s="99"/>
      <c r="N542" s="99"/>
      <c r="O542" s="99"/>
      <c r="P542" s="223"/>
      <c r="Q542" s="224"/>
      <c r="R542" s="99"/>
      <c r="S542" s="99"/>
      <c r="T542" s="157"/>
      <c r="U542" s="158"/>
      <c r="V542" s="158"/>
      <c r="W542" s="110"/>
      <c r="X542" s="110"/>
      <c r="Y542" s="197"/>
      <c r="Z542" s="197"/>
      <c r="AA542" s="197"/>
      <c r="AB542" s="225"/>
      <c r="AC542" s="99"/>
      <c r="AD542" s="157"/>
      <c r="AE542" s="99"/>
      <c r="AF542" s="99"/>
      <c r="AG542" s="99"/>
      <c r="AH542" s="99"/>
      <c r="AI542" s="99"/>
      <c r="AJ542" s="99"/>
      <c r="AK542" s="99"/>
      <c r="AL542" s="99"/>
      <c r="AM542" s="99"/>
      <c r="AN542" s="99"/>
      <c r="AO542" s="99"/>
      <c r="AP542" s="99"/>
      <c r="AQ542" s="99"/>
    </row>
    <row r="543" spans="1:43" ht="15.75" customHeight="1">
      <c r="A543" s="99"/>
      <c r="B543" s="99"/>
      <c r="C543" s="261"/>
      <c r="D543" s="232"/>
      <c r="E543" s="221"/>
      <c r="F543" s="99"/>
      <c r="G543" s="99"/>
      <c r="H543" s="222"/>
      <c r="I543" s="99"/>
      <c r="J543" s="35"/>
      <c r="K543" s="35"/>
      <c r="L543" s="35"/>
      <c r="M543" s="99"/>
      <c r="N543" s="99"/>
      <c r="O543" s="99"/>
      <c r="P543" s="223"/>
      <c r="Q543" s="224"/>
      <c r="R543" s="99"/>
      <c r="S543" s="99"/>
      <c r="T543" s="157"/>
      <c r="U543" s="158"/>
      <c r="V543" s="158"/>
      <c r="W543" s="110"/>
      <c r="X543" s="110"/>
      <c r="Y543" s="197"/>
      <c r="Z543" s="197"/>
      <c r="AA543" s="197"/>
      <c r="AB543" s="225"/>
      <c r="AC543" s="99"/>
      <c r="AD543" s="157"/>
      <c r="AE543" s="99"/>
      <c r="AF543" s="99"/>
      <c r="AG543" s="99"/>
      <c r="AH543" s="99"/>
      <c r="AI543" s="99"/>
      <c r="AJ543" s="99"/>
      <c r="AK543" s="99"/>
      <c r="AL543" s="99"/>
      <c r="AM543" s="99"/>
      <c r="AN543" s="99"/>
      <c r="AO543" s="99"/>
      <c r="AP543" s="99"/>
      <c r="AQ543" s="99"/>
    </row>
    <row r="544" spans="1:43" ht="15.75" customHeight="1">
      <c r="A544" s="99"/>
      <c r="B544" s="99"/>
      <c r="C544" s="261"/>
      <c r="D544" s="232"/>
      <c r="E544" s="221"/>
      <c r="F544" s="99"/>
      <c r="G544" s="99"/>
      <c r="H544" s="222"/>
      <c r="I544" s="99"/>
      <c r="J544" s="35"/>
      <c r="K544" s="35"/>
      <c r="L544" s="35"/>
      <c r="M544" s="99"/>
      <c r="N544" s="99"/>
      <c r="O544" s="99"/>
      <c r="P544" s="223"/>
      <c r="Q544" s="224"/>
      <c r="R544" s="99"/>
      <c r="S544" s="99"/>
      <c r="T544" s="157"/>
      <c r="U544" s="158"/>
      <c r="V544" s="158"/>
      <c r="W544" s="110"/>
      <c r="X544" s="110"/>
      <c r="Y544" s="197"/>
      <c r="Z544" s="197"/>
      <c r="AA544" s="197"/>
      <c r="AB544" s="225"/>
      <c r="AC544" s="99"/>
      <c r="AD544" s="157"/>
      <c r="AE544" s="99"/>
      <c r="AF544" s="99"/>
      <c r="AG544" s="99"/>
      <c r="AH544" s="99"/>
      <c r="AI544" s="99"/>
      <c r="AJ544" s="99"/>
      <c r="AK544" s="99"/>
      <c r="AL544" s="99"/>
      <c r="AM544" s="99"/>
      <c r="AN544" s="99"/>
      <c r="AO544" s="99"/>
      <c r="AP544" s="99"/>
      <c r="AQ544" s="99"/>
    </row>
    <row r="545" spans="1:43" ht="15.75" customHeight="1">
      <c r="A545" s="99"/>
      <c r="B545" s="99"/>
      <c r="C545" s="261"/>
      <c r="D545" s="232"/>
      <c r="E545" s="221"/>
      <c r="F545" s="99"/>
      <c r="G545" s="99"/>
      <c r="H545" s="222"/>
      <c r="I545" s="99"/>
      <c r="J545" s="35"/>
      <c r="K545" s="35"/>
      <c r="L545" s="35"/>
      <c r="M545" s="99"/>
      <c r="N545" s="99"/>
      <c r="O545" s="99"/>
      <c r="P545" s="223"/>
      <c r="Q545" s="224"/>
      <c r="R545" s="99"/>
      <c r="S545" s="99"/>
      <c r="T545" s="157"/>
      <c r="U545" s="158"/>
      <c r="V545" s="158"/>
      <c r="W545" s="110"/>
      <c r="X545" s="110"/>
      <c r="Y545" s="197"/>
      <c r="Z545" s="197"/>
      <c r="AA545" s="197"/>
      <c r="AB545" s="225"/>
      <c r="AC545" s="99"/>
      <c r="AD545" s="157"/>
      <c r="AE545" s="99"/>
      <c r="AF545" s="99"/>
      <c r="AG545" s="99"/>
      <c r="AH545" s="99"/>
      <c r="AI545" s="99"/>
      <c r="AJ545" s="99"/>
      <c r="AK545" s="99"/>
      <c r="AL545" s="99"/>
      <c r="AM545" s="99"/>
      <c r="AN545" s="99"/>
      <c r="AO545" s="99"/>
      <c r="AP545" s="99"/>
      <c r="AQ545" s="99"/>
    </row>
    <row r="546" spans="1:43" ht="15.75" customHeight="1">
      <c r="A546" s="99"/>
      <c r="B546" s="99"/>
      <c r="C546" s="261"/>
      <c r="D546" s="232"/>
      <c r="E546" s="221"/>
      <c r="F546" s="99"/>
      <c r="G546" s="99"/>
      <c r="H546" s="222"/>
      <c r="I546" s="99"/>
      <c r="J546" s="35"/>
      <c r="K546" s="35"/>
      <c r="L546" s="35"/>
      <c r="M546" s="99"/>
      <c r="N546" s="99"/>
      <c r="O546" s="99"/>
      <c r="P546" s="223"/>
      <c r="Q546" s="224"/>
      <c r="R546" s="99"/>
      <c r="S546" s="99"/>
      <c r="T546" s="157"/>
      <c r="U546" s="158"/>
      <c r="V546" s="158"/>
      <c r="W546" s="110"/>
      <c r="X546" s="110"/>
      <c r="Y546" s="197"/>
      <c r="Z546" s="197"/>
      <c r="AA546" s="197"/>
      <c r="AB546" s="225"/>
      <c r="AC546" s="99"/>
      <c r="AD546" s="157"/>
      <c r="AE546" s="99"/>
      <c r="AF546" s="99"/>
      <c r="AG546" s="99"/>
      <c r="AH546" s="99"/>
      <c r="AI546" s="99"/>
      <c r="AJ546" s="99"/>
      <c r="AK546" s="99"/>
      <c r="AL546" s="99"/>
      <c r="AM546" s="99"/>
      <c r="AN546" s="99"/>
      <c r="AO546" s="99"/>
      <c r="AP546" s="99"/>
      <c r="AQ546" s="99"/>
    </row>
    <row r="547" spans="1:43" ht="15.75" customHeight="1">
      <c r="A547" s="99"/>
      <c r="B547" s="99"/>
      <c r="C547" s="261"/>
      <c r="D547" s="232"/>
      <c r="E547" s="221"/>
      <c r="F547" s="99"/>
      <c r="G547" s="99"/>
      <c r="H547" s="222"/>
      <c r="I547" s="99"/>
      <c r="J547" s="35"/>
      <c r="K547" s="35"/>
      <c r="L547" s="35"/>
      <c r="M547" s="99"/>
      <c r="N547" s="99"/>
      <c r="O547" s="99"/>
      <c r="P547" s="223"/>
      <c r="Q547" s="224"/>
      <c r="R547" s="99"/>
      <c r="S547" s="99"/>
      <c r="T547" s="157"/>
      <c r="U547" s="158"/>
      <c r="V547" s="158"/>
      <c r="W547" s="110"/>
      <c r="X547" s="110"/>
      <c r="Y547" s="197"/>
      <c r="Z547" s="197"/>
      <c r="AA547" s="197"/>
      <c r="AB547" s="225"/>
      <c r="AC547" s="99"/>
      <c r="AD547" s="157"/>
      <c r="AE547" s="99"/>
      <c r="AF547" s="99"/>
      <c r="AG547" s="99"/>
      <c r="AH547" s="99"/>
      <c r="AI547" s="99"/>
      <c r="AJ547" s="99"/>
      <c r="AK547" s="99"/>
      <c r="AL547" s="99"/>
      <c r="AM547" s="99"/>
      <c r="AN547" s="99"/>
      <c r="AO547" s="99"/>
      <c r="AP547" s="99"/>
      <c r="AQ547" s="99"/>
    </row>
    <row r="548" spans="1:43" ht="15.75" customHeight="1">
      <c r="A548" s="99"/>
      <c r="B548" s="99"/>
      <c r="C548" s="261"/>
      <c r="D548" s="232"/>
      <c r="E548" s="221"/>
      <c r="F548" s="99"/>
      <c r="G548" s="99"/>
      <c r="H548" s="222"/>
      <c r="I548" s="99"/>
      <c r="J548" s="35"/>
      <c r="K548" s="35"/>
      <c r="L548" s="35"/>
      <c r="M548" s="99"/>
      <c r="N548" s="99"/>
      <c r="O548" s="99"/>
      <c r="P548" s="223"/>
      <c r="Q548" s="224"/>
      <c r="R548" s="99"/>
      <c r="S548" s="99"/>
      <c r="T548" s="157"/>
      <c r="U548" s="158"/>
      <c r="V548" s="158"/>
      <c r="W548" s="110"/>
      <c r="X548" s="110"/>
      <c r="Y548" s="197"/>
      <c r="Z548" s="197"/>
      <c r="AA548" s="197"/>
      <c r="AB548" s="225"/>
      <c r="AC548" s="99"/>
      <c r="AD548" s="157"/>
      <c r="AE548" s="99"/>
      <c r="AF548" s="99"/>
      <c r="AG548" s="99"/>
      <c r="AH548" s="99"/>
      <c r="AI548" s="99"/>
      <c r="AJ548" s="99"/>
      <c r="AK548" s="99"/>
      <c r="AL548" s="99"/>
      <c r="AM548" s="99"/>
      <c r="AN548" s="99"/>
      <c r="AO548" s="99"/>
      <c r="AP548" s="99"/>
      <c r="AQ548" s="99"/>
    </row>
    <row r="549" spans="1:43" ht="15.75" customHeight="1">
      <c r="A549" s="99"/>
      <c r="B549" s="99"/>
      <c r="C549" s="261"/>
      <c r="D549" s="232"/>
      <c r="E549" s="221"/>
      <c r="F549" s="99"/>
      <c r="G549" s="99"/>
      <c r="H549" s="222"/>
      <c r="I549" s="99"/>
      <c r="J549" s="35"/>
      <c r="K549" s="35"/>
      <c r="L549" s="35"/>
      <c r="M549" s="99"/>
      <c r="N549" s="99"/>
      <c r="O549" s="99"/>
      <c r="P549" s="223"/>
      <c r="Q549" s="224"/>
      <c r="R549" s="99"/>
      <c r="S549" s="99"/>
      <c r="T549" s="157"/>
      <c r="U549" s="158"/>
      <c r="V549" s="158"/>
      <c r="W549" s="110"/>
      <c r="X549" s="110"/>
      <c r="Y549" s="197"/>
      <c r="Z549" s="197"/>
      <c r="AA549" s="197"/>
      <c r="AB549" s="225"/>
      <c r="AC549" s="99"/>
      <c r="AD549" s="157"/>
      <c r="AE549" s="99"/>
      <c r="AF549" s="99"/>
      <c r="AG549" s="99"/>
      <c r="AH549" s="99"/>
      <c r="AI549" s="99"/>
      <c r="AJ549" s="99"/>
      <c r="AK549" s="99"/>
      <c r="AL549" s="99"/>
      <c r="AM549" s="99"/>
      <c r="AN549" s="99"/>
      <c r="AO549" s="99"/>
      <c r="AP549" s="99"/>
      <c r="AQ549" s="99"/>
    </row>
    <row r="550" spans="1:43" ht="15.75" customHeight="1">
      <c r="A550" s="99"/>
      <c r="B550" s="99"/>
      <c r="C550" s="261"/>
      <c r="D550" s="232"/>
      <c r="E550" s="221"/>
      <c r="F550" s="99"/>
      <c r="G550" s="99"/>
      <c r="H550" s="222"/>
      <c r="I550" s="99"/>
      <c r="J550" s="35"/>
      <c r="K550" s="35"/>
      <c r="L550" s="35"/>
      <c r="M550" s="99"/>
      <c r="N550" s="99"/>
      <c r="O550" s="99"/>
      <c r="P550" s="223"/>
      <c r="Q550" s="224"/>
      <c r="R550" s="99"/>
      <c r="S550" s="99"/>
      <c r="T550" s="157"/>
      <c r="U550" s="158"/>
      <c r="V550" s="158"/>
      <c r="W550" s="110"/>
      <c r="X550" s="110"/>
      <c r="Y550" s="197"/>
      <c r="Z550" s="197"/>
      <c r="AA550" s="197"/>
      <c r="AB550" s="225"/>
      <c r="AC550" s="99"/>
      <c r="AD550" s="157"/>
      <c r="AE550" s="99"/>
      <c r="AF550" s="99"/>
      <c r="AG550" s="99"/>
      <c r="AH550" s="99"/>
      <c r="AI550" s="99"/>
      <c r="AJ550" s="99"/>
      <c r="AK550" s="99"/>
      <c r="AL550" s="99"/>
      <c r="AM550" s="99"/>
      <c r="AN550" s="99"/>
      <c r="AO550" s="99"/>
      <c r="AP550" s="99"/>
      <c r="AQ550" s="99"/>
    </row>
    <row r="551" spans="1:43" ht="15.75" customHeight="1">
      <c r="A551" s="99"/>
      <c r="B551" s="99"/>
      <c r="C551" s="261"/>
      <c r="D551" s="232"/>
      <c r="E551" s="221"/>
      <c r="F551" s="99"/>
      <c r="G551" s="99"/>
      <c r="H551" s="222"/>
      <c r="I551" s="99"/>
      <c r="J551" s="35"/>
      <c r="K551" s="35"/>
      <c r="L551" s="35"/>
      <c r="M551" s="99"/>
      <c r="N551" s="99"/>
      <c r="O551" s="99"/>
      <c r="P551" s="223"/>
      <c r="Q551" s="224"/>
      <c r="R551" s="99"/>
      <c r="S551" s="99"/>
      <c r="T551" s="157"/>
      <c r="U551" s="158"/>
      <c r="V551" s="158"/>
      <c r="W551" s="110"/>
      <c r="X551" s="110"/>
      <c r="Y551" s="197"/>
      <c r="Z551" s="197"/>
      <c r="AA551" s="197"/>
      <c r="AB551" s="225"/>
      <c r="AC551" s="99"/>
      <c r="AD551" s="157"/>
      <c r="AE551" s="99"/>
      <c r="AF551" s="99"/>
      <c r="AG551" s="99"/>
      <c r="AH551" s="99"/>
      <c r="AI551" s="99"/>
      <c r="AJ551" s="99"/>
      <c r="AK551" s="99"/>
      <c r="AL551" s="99"/>
      <c r="AM551" s="99"/>
      <c r="AN551" s="99"/>
      <c r="AO551" s="99"/>
      <c r="AP551" s="99"/>
      <c r="AQ551" s="99"/>
    </row>
    <row r="552" spans="1:43" ht="15.75" customHeight="1">
      <c r="A552" s="99"/>
      <c r="B552" s="99"/>
      <c r="C552" s="261"/>
      <c r="D552" s="232"/>
      <c r="E552" s="221"/>
      <c r="F552" s="99"/>
      <c r="G552" s="99"/>
      <c r="H552" s="222"/>
      <c r="I552" s="99"/>
      <c r="J552" s="35"/>
      <c r="K552" s="35"/>
      <c r="L552" s="35"/>
      <c r="M552" s="99"/>
      <c r="N552" s="99"/>
      <c r="O552" s="99"/>
      <c r="P552" s="223"/>
      <c r="Q552" s="224"/>
      <c r="R552" s="99"/>
      <c r="S552" s="99"/>
      <c r="T552" s="157"/>
      <c r="U552" s="158"/>
      <c r="V552" s="158"/>
      <c r="W552" s="110"/>
      <c r="X552" s="110"/>
      <c r="Y552" s="197"/>
      <c r="Z552" s="197"/>
      <c r="AA552" s="197"/>
      <c r="AB552" s="225"/>
      <c r="AC552" s="99"/>
      <c r="AD552" s="157"/>
      <c r="AE552" s="99"/>
      <c r="AF552" s="99"/>
      <c r="AG552" s="99"/>
      <c r="AH552" s="99"/>
      <c r="AI552" s="99"/>
      <c r="AJ552" s="99"/>
      <c r="AK552" s="99"/>
      <c r="AL552" s="99"/>
      <c r="AM552" s="99"/>
      <c r="AN552" s="99"/>
      <c r="AO552" s="99"/>
      <c r="AP552" s="99"/>
      <c r="AQ552" s="99"/>
    </row>
    <row r="553" spans="1:43" ht="15.75" customHeight="1">
      <c r="A553" s="99"/>
      <c r="B553" s="99"/>
      <c r="C553" s="261"/>
      <c r="D553" s="232"/>
      <c r="E553" s="221"/>
      <c r="F553" s="99"/>
      <c r="G553" s="99"/>
      <c r="H553" s="222"/>
      <c r="I553" s="99"/>
      <c r="J553" s="35"/>
      <c r="K553" s="35"/>
      <c r="L553" s="35"/>
      <c r="M553" s="99"/>
      <c r="N553" s="99"/>
      <c r="O553" s="99"/>
      <c r="P553" s="223"/>
      <c r="Q553" s="224"/>
      <c r="R553" s="99"/>
      <c r="S553" s="99"/>
      <c r="T553" s="157"/>
      <c r="U553" s="158"/>
      <c r="V553" s="158"/>
      <c r="W553" s="110"/>
      <c r="X553" s="110"/>
      <c r="Y553" s="197"/>
      <c r="Z553" s="197"/>
      <c r="AA553" s="197"/>
      <c r="AB553" s="225"/>
      <c r="AC553" s="99"/>
      <c r="AD553" s="157"/>
      <c r="AE553" s="99"/>
      <c r="AF553" s="99"/>
      <c r="AG553" s="99"/>
      <c r="AH553" s="99"/>
      <c r="AI553" s="99"/>
      <c r="AJ553" s="99"/>
      <c r="AK553" s="99"/>
      <c r="AL553" s="99"/>
      <c r="AM553" s="99"/>
      <c r="AN553" s="99"/>
      <c r="AO553" s="99"/>
      <c r="AP553" s="99"/>
      <c r="AQ553" s="99"/>
    </row>
    <row r="554" spans="1:43" ht="15.75" customHeight="1">
      <c r="A554" s="99"/>
      <c r="B554" s="99"/>
      <c r="C554" s="261"/>
      <c r="D554" s="232"/>
      <c r="E554" s="221"/>
      <c r="F554" s="99"/>
      <c r="G554" s="99"/>
      <c r="H554" s="222"/>
      <c r="I554" s="99"/>
      <c r="J554" s="35"/>
      <c r="K554" s="35"/>
      <c r="L554" s="35"/>
      <c r="M554" s="99"/>
      <c r="N554" s="99"/>
      <c r="O554" s="99"/>
      <c r="P554" s="223"/>
      <c r="Q554" s="224"/>
      <c r="R554" s="99"/>
      <c r="S554" s="99"/>
      <c r="T554" s="157"/>
      <c r="U554" s="158"/>
      <c r="V554" s="158"/>
      <c r="W554" s="110"/>
      <c r="X554" s="110"/>
      <c r="Y554" s="197"/>
      <c r="Z554" s="197"/>
      <c r="AA554" s="197"/>
      <c r="AB554" s="225"/>
      <c r="AC554" s="99"/>
      <c r="AD554" s="157"/>
      <c r="AE554" s="99"/>
      <c r="AF554" s="99"/>
      <c r="AG554" s="99"/>
      <c r="AH554" s="99"/>
      <c r="AI554" s="99"/>
      <c r="AJ554" s="99"/>
      <c r="AK554" s="99"/>
      <c r="AL554" s="99"/>
      <c r="AM554" s="99"/>
      <c r="AN554" s="99"/>
      <c r="AO554" s="99"/>
      <c r="AP554" s="99"/>
      <c r="AQ554" s="99"/>
    </row>
    <row r="555" spans="1:43" ht="15.75" customHeight="1">
      <c r="A555" s="99"/>
      <c r="B555" s="99"/>
      <c r="C555" s="261"/>
      <c r="D555" s="232"/>
      <c r="E555" s="221"/>
      <c r="F555" s="99"/>
      <c r="G555" s="99"/>
      <c r="H555" s="222"/>
      <c r="I555" s="99"/>
      <c r="J555" s="35"/>
      <c r="K555" s="35"/>
      <c r="L555" s="35"/>
      <c r="M555" s="99"/>
      <c r="N555" s="99"/>
      <c r="O555" s="99"/>
      <c r="P555" s="223"/>
      <c r="Q555" s="224"/>
      <c r="R555" s="99"/>
      <c r="S555" s="99"/>
      <c r="T555" s="157"/>
      <c r="U555" s="158"/>
      <c r="V555" s="158"/>
      <c r="W555" s="110"/>
      <c r="X555" s="110"/>
      <c r="Y555" s="197"/>
      <c r="Z555" s="197"/>
      <c r="AA555" s="197"/>
      <c r="AB555" s="225"/>
      <c r="AC555" s="99"/>
      <c r="AD555" s="157"/>
      <c r="AE555" s="99"/>
      <c r="AF555" s="99"/>
      <c r="AG555" s="99"/>
      <c r="AH555" s="99"/>
      <c r="AI555" s="99"/>
      <c r="AJ555" s="99"/>
      <c r="AK555" s="99"/>
      <c r="AL555" s="99"/>
      <c r="AM555" s="99"/>
      <c r="AN555" s="99"/>
      <c r="AO555" s="99"/>
      <c r="AP555" s="99"/>
      <c r="AQ555" s="99"/>
    </row>
    <row r="556" spans="1:43" ht="15.75" customHeight="1">
      <c r="A556" s="99"/>
      <c r="B556" s="99"/>
      <c r="C556" s="261"/>
      <c r="D556" s="232"/>
      <c r="E556" s="221"/>
      <c r="F556" s="99"/>
      <c r="G556" s="99"/>
      <c r="H556" s="222"/>
      <c r="I556" s="99"/>
      <c r="J556" s="35"/>
      <c r="K556" s="35"/>
      <c r="L556" s="35"/>
      <c r="M556" s="99"/>
      <c r="N556" s="99"/>
      <c r="O556" s="99"/>
      <c r="P556" s="223"/>
      <c r="Q556" s="224"/>
      <c r="R556" s="99"/>
      <c r="S556" s="99"/>
      <c r="T556" s="157"/>
      <c r="U556" s="158"/>
      <c r="V556" s="158"/>
      <c r="W556" s="110"/>
      <c r="X556" s="110"/>
      <c r="Y556" s="197"/>
      <c r="Z556" s="197"/>
      <c r="AA556" s="197"/>
      <c r="AB556" s="225"/>
      <c r="AC556" s="99"/>
      <c r="AD556" s="157"/>
      <c r="AE556" s="99"/>
      <c r="AF556" s="99"/>
      <c r="AG556" s="99"/>
      <c r="AH556" s="99"/>
      <c r="AI556" s="99"/>
      <c r="AJ556" s="99"/>
      <c r="AK556" s="99"/>
      <c r="AL556" s="99"/>
      <c r="AM556" s="99"/>
      <c r="AN556" s="99"/>
      <c r="AO556" s="99"/>
      <c r="AP556" s="99"/>
      <c r="AQ556" s="99"/>
    </row>
    <row r="557" spans="1:43" ht="15.75" customHeight="1">
      <c r="A557" s="99"/>
      <c r="B557" s="99"/>
      <c r="C557" s="261"/>
      <c r="D557" s="232"/>
      <c r="E557" s="221"/>
      <c r="F557" s="99"/>
      <c r="G557" s="99"/>
      <c r="H557" s="222"/>
      <c r="I557" s="99"/>
      <c r="J557" s="35"/>
      <c r="K557" s="35"/>
      <c r="L557" s="35"/>
      <c r="M557" s="99"/>
      <c r="N557" s="99"/>
      <c r="O557" s="99"/>
      <c r="P557" s="223"/>
      <c r="Q557" s="224"/>
      <c r="R557" s="99"/>
      <c r="S557" s="99"/>
      <c r="T557" s="157"/>
      <c r="U557" s="158"/>
      <c r="V557" s="158"/>
      <c r="W557" s="110"/>
      <c r="X557" s="110"/>
      <c r="Y557" s="197"/>
      <c r="Z557" s="197"/>
      <c r="AA557" s="197"/>
      <c r="AB557" s="225"/>
      <c r="AC557" s="99"/>
      <c r="AD557" s="157"/>
      <c r="AE557" s="99"/>
      <c r="AF557" s="99"/>
      <c r="AG557" s="99"/>
      <c r="AH557" s="99"/>
      <c r="AI557" s="99"/>
      <c r="AJ557" s="99"/>
      <c r="AK557" s="99"/>
      <c r="AL557" s="99"/>
      <c r="AM557" s="99"/>
      <c r="AN557" s="99"/>
      <c r="AO557" s="99"/>
      <c r="AP557" s="99"/>
      <c r="AQ557" s="99"/>
    </row>
    <row r="558" spans="1:43" ht="15.75" customHeight="1">
      <c r="A558" s="99"/>
      <c r="B558" s="99"/>
      <c r="C558" s="261"/>
      <c r="D558" s="232"/>
      <c r="E558" s="221"/>
      <c r="F558" s="99"/>
      <c r="G558" s="99"/>
      <c r="H558" s="222"/>
      <c r="I558" s="99"/>
      <c r="J558" s="35"/>
      <c r="K558" s="35"/>
      <c r="L558" s="35"/>
      <c r="M558" s="99"/>
      <c r="N558" s="99"/>
      <c r="O558" s="99"/>
      <c r="P558" s="223"/>
      <c r="Q558" s="224"/>
      <c r="R558" s="99"/>
      <c r="S558" s="99"/>
      <c r="T558" s="157"/>
      <c r="U558" s="158"/>
      <c r="V558" s="158"/>
      <c r="W558" s="110"/>
      <c r="X558" s="110"/>
      <c r="Y558" s="197"/>
      <c r="Z558" s="197"/>
      <c r="AA558" s="197"/>
      <c r="AB558" s="225"/>
      <c r="AC558" s="99"/>
      <c r="AD558" s="157"/>
      <c r="AE558" s="99"/>
      <c r="AF558" s="99"/>
      <c r="AG558" s="99"/>
      <c r="AH558" s="99"/>
      <c r="AI558" s="99"/>
      <c r="AJ558" s="99"/>
      <c r="AK558" s="99"/>
      <c r="AL558" s="99"/>
      <c r="AM558" s="99"/>
      <c r="AN558" s="99"/>
      <c r="AO558" s="99"/>
      <c r="AP558" s="99"/>
      <c r="AQ558" s="99"/>
    </row>
    <row r="559" spans="1:43" ht="15.75" customHeight="1">
      <c r="A559" s="99"/>
      <c r="B559" s="99"/>
      <c r="C559" s="261"/>
      <c r="D559" s="232"/>
      <c r="E559" s="221"/>
      <c r="F559" s="99"/>
      <c r="G559" s="99"/>
      <c r="H559" s="222"/>
      <c r="I559" s="99"/>
      <c r="J559" s="35"/>
      <c r="K559" s="35"/>
      <c r="L559" s="35"/>
      <c r="M559" s="99"/>
      <c r="N559" s="99"/>
      <c r="O559" s="99"/>
      <c r="P559" s="223"/>
      <c r="Q559" s="224"/>
      <c r="R559" s="99"/>
      <c r="S559" s="99"/>
      <c r="T559" s="157"/>
      <c r="U559" s="158"/>
      <c r="V559" s="158"/>
      <c r="W559" s="110"/>
      <c r="X559" s="110"/>
      <c r="Y559" s="197"/>
      <c r="Z559" s="197"/>
      <c r="AA559" s="197"/>
      <c r="AB559" s="225"/>
      <c r="AC559" s="99"/>
      <c r="AD559" s="157"/>
      <c r="AE559" s="99"/>
      <c r="AF559" s="99"/>
      <c r="AG559" s="99"/>
      <c r="AH559" s="99"/>
      <c r="AI559" s="99"/>
      <c r="AJ559" s="99"/>
      <c r="AK559" s="99"/>
      <c r="AL559" s="99"/>
      <c r="AM559" s="99"/>
      <c r="AN559" s="99"/>
      <c r="AO559" s="99"/>
      <c r="AP559" s="99"/>
      <c r="AQ559" s="99"/>
    </row>
    <row r="560" spans="1:43" ht="15.75" customHeight="1">
      <c r="A560" s="99"/>
      <c r="B560" s="99"/>
      <c r="C560" s="261"/>
      <c r="D560" s="232"/>
      <c r="E560" s="221"/>
      <c r="F560" s="99"/>
      <c r="G560" s="99"/>
      <c r="H560" s="222"/>
      <c r="I560" s="99"/>
      <c r="J560" s="35"/>
      <c r="K560" s="35"/>
      <c r="L560" s="35"/>
      <c r="M560" s="99"/>
      <c r="N560" s="99"/>
      <c r="O560" s="99"/>
      <c r="P560" s="223"/>
      <c r="Q560" s="224"/>
      <c r="R560" s="99"/>
      <c r="S560" s="99"/>
      <c r="T560" s="157"/>
      <c r="U560" s="158"/>
      <c r="V560" s="158"/>
      <c r="W560" s="110"/>
      <c r="X560" s="110"/>
      <c r="Y560" s="197"/>
      <c r="Z560" s="197"/>
      <c r="AA560" s="197"/>
      <c r="AB560" s="225"/>
      <c r="AC560" s="99"/>
      <c r="AD560" s="157"/>
      <c r="AE560" s="99"/>
      <c r="AF560" s="99"/>
      <c r="AG560" s="99"/>
      <c r="AH560" s="99"/>
      <c r="AI560" s="99"/>
      <c r="AJ560" s="99"/>
      <c r="AK560" s="99"/>
      <c r="AL560" s="99"/>
      <c r="AM560" s="99"/>
      <c r="AN560" s="99"/>
      <c r="AO560" s="99"/>
      <c r="AP560" s="99"/>
      <c r="AQ560" s="99"/>
    </row>
    <row r="561" spans="1:43" ht="15.75" customHeight="1">
      <c r="A561" s="99"/>
      <c r="B561" s="99"/>
      <c r="C561" s="261"/>
      <c r="D561" s="232"/>
      <c r="E561" s="221"/>
      <c r="F561" s="99"/>
      <c r="G561" s="99"/>
      <c r="H561" s="222"/>
      <c r="I561" s="99"/>
      <c r="J561" s="35"/>
      <c r="K561" s="35"/>
      <c r="L561" s="35"/>
      <c r="M561" s="99"/>
      <c r="N561" s="99"/>
      <c r="O561" s="99"/>
      <c r="P561" s="223"/>
      <c r="Q561" s="224"/>
      <c r="R561" s="99"/>
      <c r="S561" s="99"/>
      <c r="T561" s="157"/>
      <c r="U561" s="158"/>
      <c r="V561" s="158"/>
      <c r="W561" s="110"/>
      <c r="X561" s="110"/>
      <c r="Y561" s="197"/>
      <c r="Z561" s="197"/>
      <c r="AA561" s="197"/>
      <c r="AB561" s="225"/>
      <c r="AC561" s="99"/>
      <c r="AD561" s="157"/>
      <c r="AE561" s="99"/>
      <c r="AF561" s="99"/>
      <c r="AG561" s="99"/>
      <c r="AH561" s="99"/>
      <c r="AI561" s="99"/>
      <c r="AJ561" s="99"/>
      <c r="AK561" s="99"/>
      <c r="AL561" s="99"/>
      <c r="AM561" s="99"/>
      <c r="AN561" s="99"/>
      <c r="AO561" s="99"/>
      <c r="AP561" s="99"/>
      <c r="AQ561" s="99"/>
    </row>
    <row r="562" spans="1:43" ht="15.75" customHeight="1">
      <c r="A562" s="99"/>
      <c r="B562" s="99"/>
      <c r="C562" s="261"/>
      <c r="D562" s="232"/>
      <c r="E562" s="221"/>
      <c r="F562" s="99"/>
      <c r="G562" s="99"/>
      <c r="H562" s="222"/>
      <c r="I562" s="99"/>
      <c r="J562" s="35"/>
      <c r="K562" s="35"/>
      <c r="L562" s="35"/>
      <c r="M562" s="99"/>
      <c r="N562" s="99"/>
      <c r="O562" s="99"/>
      <c r="P562" s="223"/>
      <c r="Q562" s="224"/>
      <c r="R562" s="99"/>
      <c r="S562" s="99"/>
      <c r="T562" s="157"/>
      <c r="U562" s="158"/>
      <c r="V562" s="158"/>
      <c r="W562" s="110"/>
      <c r="X562" s="110"/>
      <c r="Y562" s="197"/>
      <c r="Z562" s="197"/>
      <c r="AA562" s="197"/>
      <c r="AB562" s="225"/>
      <c r="AC562" s="99"/>
      <c r="AD562" s="157"/>
      <c r="AE562" s="99"/>
      <c r="AF562" s="99"/>
      <c r="AG562" s="99"/>
      <c r="AH562" s="99"/>
      <c r="AI562" s="99"/>
      <c r="AJ562" s="99"/>
      <c r="AK562" s="99"/>
      <c r="AL562" s="99"/>
      <c r="AM562" s="99"/>
      <c r="AN562" s="99"/>
      <c r="AO562" s="99"/>
      <c r="AP562" s="99"/>
      <c r="AQ562" s="99"/>
    </row>
    <row r="563" spans="1:43" ht="15.75" customHeight="1">
      <c r="A563" s="99"/>
      <c r="B563" s="99"/>
      <c r="C563" s="261"/>
      <c r="D563" s="232"/>
      <c r="E563" s="221"/>
      <c r="F563" s="99"/>
      <c r="G563" s="99"/>
      <c r="H563" s="222"/>
      <c r="I563" s="99"/>
      <c r="J563" s="35"/>
      <c r="K563" s="35"/>
      <c r="L563" s="35"/>
      <c r="M563" s="99"/>
      <c r="N563" s="99"/>
      <c r="O563" s="99"/>
      <c r="P563" s="223"/>
      <c r="Q563" s="224"/>
      <c r="R563" s="99"/>
      <c r="S563" s="99"/>
      <c r="T563" s="157"/>
      <c r="U563" s="158"/>
      <c r="V563" s="158"/>
      <c r="W563" s="110"/>
      <c r="X563" s="110"/>
      <c r="Y563" s="197"/>
      <c r="Z563" s="197"/>
      <c r="AA563" s="197"/>
      <c r="AB563" s="225"/>
      <c r="AC563" s="99"/>
      <c r="AD563" s="157"/>
      <c r="AE563" s="99"/>
      <c r="AF563" s="99"/>
      <c r="AG563" s="99"/>
      <c r="AH563" s="99"/>
      <c r="AI563" s="99"/>
      <c r="AJ563" s="99"/>
      <c r="AK563" s="99"/>
      <c r="AL563" s="99"/>
      <c r="AM563" s="99"/>
      <c r="AN563" s="99"/>
      <c r="AO563" s="99"/>
      <c r="AP563" s="99"/>
      <c r="AQ563" s="99"/>
    </row>
    <row r="564" spans="1:43" ht="15.75" customHeight="1">
      <c r="A564" s="99"/>
      <c r="B564" s="99"/>
      <c r="C564" s="261"/>
      <c r="D564" s="232"/>
      <c r="E564" s="221"/>
      <c r="F564" s="99"/>
      <c r="G564" s="99"/>
      <c r="H564" s="222"/>
      <c r="I564" s="99"/>
      <c r="J564" s="35"/>
      <c r="K564" s="35"/>
      <c r="L564" s="35"/>
      <c r="M564" s="99"/>
      <c r="N564" s="99"/>
      <c r="O564" s="99"/>
      <c r="P564" s="223"/>
      <c r="Q564" s="224"/>
      <c r="R564" s="99"/>
      <c r="S564" s="99"/>
      <c r="T564" s="157"/>
      <c r="U564" s="158"/>
      <c r="V564" s="158"/>
      <c r="W564" s="110"/>
      <c r="X564" s="110"/>
      <c r="Y564" s="197"/>
      <c r="Z564" s="197"/>
      <c r="AA564" s="197"/>
      <c r="AB564" s="225"/>
      <c r="AC564" s="99"/>
      <c r="AD564" s="157"/>
      <c r="AE564" s="99"/>
      <c r="AF564" s="99"/>
      <c r="AG564" s="99"/>
      <c r="AH564" s="99"/>
      <c r="AI564" s="99"/>
      <c r="AJ564" s="99"/>
      <c r="AK564" s="99"/>
      <c r="AL564" s="99"/>
      <c r="AM564" s="99"/>
      <c r="AN564" s="99"/>
      <c r="AO564" s="99"/>
      <c r="AP564" s="99"/>
      <c r="AQ564" s="99"/>
    </row>
    <row r="565" spans="1:43" ht="15.75" customHeight="1">
      <c r="A565" s="99"/>
      <c r="B565" s="99"/>
      <c r="C565" s="261"/>
      <c r="D565" s="232"/>
      <c r="E565" s="221"/>
      <c r="F565" s="99"/>
      <c r="G565" s="99"/>
      <c r="H565" s="222"/>
      <c r="I565" s="99"/>
      <c r="J565" s="35"/>
      <c r="K565" s="35"/>
      <c r="L565" s="35"/>
      <c r="M565" s="99"/>
      <c r="N565" s="99"/>
      <c r="O565" s="99"/>
      <c r="P565" s="223"/>
      <c r="Q565" s="224"/>
      <c r="R565" s="99"/>
      <c r="S565" s="99"/>
      <c r="T565" s="157"/>
      <c r="U565" s="158"/>
      <c r="V565" s="158"/>
      <c r="W565" s="110"/>
      <c r="X565" s="110"/>
      <c r="Y565" s="197"/>
      <c r="Z565" s="197"/>
      <c r="AA565" s="197"/>
      <c r="AB565" s="225"/>
      <c r="AC565" s="99"/>
      <c r="AD565" s="157"/>
      <c r="AE565" s="99"/>
      <c r="AF565" s="99"/>
      <c r="AG565" s="99"/>
      <c r="AH565" s="99"/>
      <c r="AI565" s="99"/>
      <c r="AJ565" s="99"/>
      <c r="AK565" s="99"/>
      <c r="AL565" s="99"/>
      <c r="AM565" s="99"/>
      <c r="AN565" s="99"/>
      <c r="AO565" s="99"/>
      <c r="AP565" s="99"/>
      <c r="AQ565" s="99"/>
    </row>
    <row r="566" spans="1:43" ht="15.75" customHeight="1">
      <c r="A566" s="99"/>
      <c r="B566" s="99"/>
      <c r="C566" s="261"/>
      <c r="D566" s="232"/>
      <c r="E566" s="221"/>
      <c r="F566" s="99"/>
      <c r="G566" s="99"/>
      <c r="H566" s="222"/>
      <c r="I566" s="99"/>
      <c r="J566" s="35"/>
      <c r="K566" s="35"/>
      <c r="L566" s="35"/>
      <c r="M566" s="99"/>
      <c r="N566" s="99"/>
      <c r="O566" s="99"/>
      <c r="P566" s="223"/>
      <c r="Q566" s="224"/>
      <c r="R566" s="99"/>
      <c r="S566" s="99"/>
      <c r="T566" s="157"/>
      <c r="U566" s="158"/>
      <c r="V566" s="158"/>
      <c r="W566" s="110"/>
      <c r="X566" s="110"/>
      <c r="Y566" s="197"/>
      <c r="Z566" s="197"/>
      <c r="AA566" s="197"/>
      <c r="AB566" s="225"/>
      <c r="AC566" s="99"/>
      <c r="AD566" s="157"/>
      <c r="AE566" s="99"/>
      <c r="AF566" s="99"/>
      <c r="AG566" s="99"/>
      <c r="AH566" s="99"/>
      <c r="AI566" s="99"/>
      <c r="AJ566" s="99"/>
      <c r="AK566" s="99"/>
      <c r="AL566" s="99"/>
      <c r="AM566" s="99"/>
      <c r="AN566" s="99"/>
      <c r="AO566" s="99"/>
      <c r="AP566" s="99"/>
      <c r="AQ566" s="99"/>
    </row>
    <row r="567" spans="1:43" ht="15.75" customHeight="1">
      <c r="A567" s="99"/>
      <c r="B567" s="99"/>
      <c r="C567" s="261"/>
      <c r="D567" s="232"/>
      <c r="E567" s="221"/>
      <c r="F567" s="99"/>
      <c r="G567" s="99"/>
      <c r="H567" s="222"/>
      <c r="I567" s="99"/>
      <c r="J567" s="35"/>
      <c r="K567" s="35"/>
      <c r="L567" s="35"/>
      <c r="M567" s="99"/>
      <c r="N567" s="99"/>
      <c r="O567" s="99"/>
      <c r="P567" s="223"/>
      <c r="Q567" s="224"/>
      <c r="R567" s="99"/>
      <c r="S567" s="99"/>
      <c r="T567" s="157"/>
      <c r="U567" s="158"/>
      <c r="V567" s="158"/>
      <c r="W567" s="110"/>
      <c r="X567" s="110"/>
      <c r="Y567" s="197"/>
      <c r="Z567" s="197"/>
      <c r="AA567" s="197"/>
      <c r="AB567" s="225"/>
      <c r="AC567" s="99"/>
      <c r="AD567" s="226"/>
      <c r="AE567" s="99"/>
      <c r="AF567" s="99"/>
      <c r="AG567" s="99"/>
      <c r="AH567" s="99"/>
      <c r="AI567" s="99"/>
      <c r="AJ567" s="99"/>
      <c r="AK567" s="99"/>
      <c r="AL567" s="99"/>
      <c r="AM567" s="99"/>
      <c r="AN567" s="99"/>
      <c r="AO567" s="99"/>
      <c r="AP567" s="99"/>
      <c r="AQ567" s="99"/>
    </row>
    <row r="568" spans="1:43" ht="15.75" customHeight="1">
      <c r="A568" s="99"/>
      <c r="B568" s="99"/>
      <c r="C568" s="261"/>
      <c r="D568" s="232"/>
      <c r="E568" s="221"/>
      <c r="F568" s="99"/>
      <c r="G568" s="99"/>
      <c r="H568" s="222"/>
      <c r="I568" s="99"/>
      <c r="J568" s="35"/>
      <c r="K568" s="35"/>
      <c r="L568" s="35"/>
      <c r="M568" s="99"/>
      <c r="N568" s="99"/>
      <c r="O568" s="99"/>
      <c r="P568" s="223"/>
      <c r="Q568" s="224"/>
      <c r="R568" s="99"/>
      <c r="S568" s="99"/>
      <c r="T568" s="157"/>
      <c r="U568" s="158"/>
      <c r="V568" s="158"/>
      <c r="W568" s="110"/>
      <c r="X568" s="110"/>
      <c r="Y568" s="197"/>
      <c r="Z568" s="197"/>
      <c r="AA568" s="197"/>
      <c r="AB568" s="225"/>
      <c r="AC568" s="99"/>
      <c r="AD568" s="226"/>
      <c r="AE568" s="99"/>
      <c r="AF568" s="99"/>
      <c r="AG568" s="99"/>
      <c r="AH568" s="99"/>
      <c r="AI568" s="99"/>
      <c r="AJ568" s="99"/>
      <c r="AK568" s="99"/>
      <c r="AL568" s="99"/>
      <c r="AM568" s="99"/>
      <c r="AN568" s="99"/>
      <c r="AO568" s="99"/>
      <c r="AP568" s="99"/>
      <c r="AQ568" s="99"/>
    </row>
    <row r="569" spans="1:43" ht="15.75" customHeight="1">
      <c r="A569" s="99"/>
      <c r="B569" s="99"/>
      <c r="C569" s="261"/>
      <c r="D569" s="232"/>
      <c r="E569" s="221"/>
      <c r="F569" s="99"/>
      <c r="G569" s="99"/>
      <c r="H569" s="222"/>
      <c r="I569" s="99"/>
      <c r="J569" s="35"/>
      <c r="K569" s="35"/>
      <c r="L569" s="35"/>
      <c r="M569" s="99"/>
      <c r="N569" s="99"/>
      <c r="O569" s="99"/>
      <c r="P569" s="223"/>
      <c r="Q569" s="224"/>
      <c r="R569" s="99"/>
      <c r="S569" s="99"/>
      <c r="T569" s="157"/>
      <c r="U569" s="158"/>
      <c r="V569" s="158"/>
      <c r="W569" s="110"/>
      <c r="X569" s="110"/>
      <c r="Y569" s="197"/>
      <c r="Z569" s="197"/>
      <c r="AA569" s="197"/>
      <c r="AB569" s="225"/>
      <c r="AC569" s="99"/>
      <c r="AD569" s="226"/>
      <c r="AE569" s="99"/>
      <c r="AF569" s="99"/>
      <c r="AG569" s="99"/>
      <c r="AH569" s="99"/>
      <c r="AI569" s="99"/>
      <c r="AJ569" s="99"/>
      <c r="AK569" s="99"/>
      <c r="AL569" s="99"/>
      <c r="AM569" s="99"/>
      <c r="AN569" s="99"/>
      <c r="AO569" s="99"/>
      <c r="AP569" s="99"/>
      <c r="AQ569" s="99"/>
    </row>
    <row r="570" spans="1:43" ht="15.75" customHeight="1">
      <c r="A570" s="99"/>
      <c r="B570" s="99"/>
      <c r="C570" s="261"/>
      <c r="D570" s="232"/>
      <c r="E570" s="221"/>
      <c r="F570" s="99"/>
      <c r="G570" s="99"/>
      <c r="H570" s="222"/>
      <c r="I570" s="99"/>
      <c r="J570" s="35"/>
      <c r="K570" s="35"/>
      <c r="L570" s="35"/>
      <c r="M570" s="99"/>
      <c r="N570" s="99"/>
      <c r="O570" s="99"/>
      <c r="P570" s="223"/>
      <c r="Q570" s="224"/>
      <c r="R570" s="99"/>
      <c r="S570" s="99"/>
      <c r="T570" s="157"/>
      <c r="U570" s="158"/>
      <c r="V570" s="158"/>
      <c r="W570" s="110"/>
      <c r="X570" s="110"/>
      <c r="Y570" s="197"/>
      <c r="Z570" s="197"/>
      <c r="AA570" s="197"/>
      <c r="AB570" s="225"/>
      <c r="AC570" s="99"/>
      <c r="AD570" s="226"/>
      <c r="AE570" s="99"/>
      <c r="AF570" s="99"/>
      <c r="AG570" s="99"/>
      <c r="AH570" s="99"/>
      <c r="AI570" s="99"/>
      <c r="AJ570" s="99"/>
      <c r="AK570" s="99"/>
      <c r="AL570" s="99"/>
      <c r="AM570" s="99"/>
      <c r="AN570" s="99"/>
      <c r="AO570" s="99"/>
      <c r="AP570" s="99"/>
      <c r="AQ570" s="99"/>
    </row>
    <row r="571" spans="1:43" ht="15.75" customHeight="1">
      <c r="A571" s="99"/>
      <c r="B571" s="99"/>
      <c r="C571" s="261"/>
      <c r="D571" s="232"/>
      <c r="E571" s="221"/>
      <c r="F571" s="99"/>
      <c r="G571" s="99"/>
      <c r="H571" s="222"/>
      <c r="I571" s="99"/>
      <c r="J571" s="35"/>
      <c r="K571" s="35"/>
      <c r="L571" s="35"/>
      <c r="M571" s="99"/>
      <c r="N571" s="99"/>
      <c r="O571" s="99"/>
      <c r="P571" s="223"/>
      <c r="Q571" s="224"/>
      <c r="R571" s="99"/>
      <c r="S571" s="99"/>
      <c r="T571" s="157"/>
      <c r="U571" s="158"/>
      <c r="V571" s="158"/>
      <c r="W571" s="110"/>
      <c r="X571" s="110"/>
      <c r="Y571" s="197"/>
      <c r="Z571" s="197"/>
      <c r="AA571" s="197"/>
      <c r="AB571" s="225"/>
      <c r="AC571" s="99"/>
      <c r="AD571" s="226"/>
      <c r="AE571" s="99"/>
      <c r="AF571" s="99"/>
      <c r="AG571" s="99"/>
      <c r="AH571" s="99"/>
      <c r="AI571" s="99"/>
      <c r="AJ571" s="99"/>
      <c r="AK571" s="99"/>
      <c r="AL571" s="99"/>
      <c r="AM571" s="99"/>
      <c r="AN571" s="99"/>
      <c r="AO571" s="99"/>
      <c r="AP571" s="99"/>
      <c r="AQ571" s="99"/>
    </row>
    <row r="572" spans="1:43" ht="15.75" customHeight="1">
      <c r="A572" s="99"/>
      <c r="B572" s="99"/>
      <c r="C572" s="261"/>
      <c r="D572" s="232"/>
      <c r="E572" s="221"/>
      <c r="F572" s="99"/>
      <c r="G572" s="99"/>
      <c r="H572" s="222"/>
      <c r="I572" s="99"/>
      <c r="J572" s="35"/>
      <c r="K572" s="35"/>
      <c r="L572" s="35"/>
      <c r="M572" s="99"/>
      <c r="N572" s="99"/>
      <c r="O572" s="99"/>
      <c r="P572" s="223"/>
      <c r="Q572" s="224"/>
      <c r="R572" s="99"/>
      <c r="S572" s="99"/>
      <c r="T572" s="157"/>
      <c r="U572" s="158"/>
      <c r="V572" s="158"/>
      <c r="W572" s="110"/>
      <c r="X572" s="110"/>
      <c r="Y572" s="197"/>
      <c r="Z572" s="197"/>
      <c r="AA572" s="197"/>
      <c r="AB572" s="225"/>
      <c r="AC572" s="99"/>
      <c r="AD572" s="226"/>
      <c r="AE572" s="99"/>
      <c r="AF572" s="99"/>
      <c r="AG572" s="99"/>
      <c r="AH572" s="99"/>
      <c r="AI572" s="99"/>
      <c r="AJ572" s="99"/>
      <c r="AK572" s="99"/>
      <c r="AL572" s="99"/>
      <c r="AM572" s="99"/>
      <c r="AN572" s="99"/>
      <c r="AO572" s="99"/>
      <c r="AP572" s="99"/>
      <c r="AQ572" s="99"/>
    </row>
    <row r="573" spans="1:43" ht="15.75" customHeight="1">
      <c r="A573" s="99"/>
      <c r="B573" s="99"/>
      <c r="C573" s="261"/>
      <c r="D573" s="232"/>
      <c r="E573" s="221"/>
      <c r="F573" s="99"/>
      <c r="G573" s="99"/>
      <c r="H573" s="222"/>
      <c r="I573" s="99"/>
      <c r="J573" s="35"/>
      <c r="K573" s="35"/>
      <c r="L573" s="35"/>
      <c r="M573" s="99"/>
      <c r="N573" s="99"/>
      <c r="O573" s="99"/>
      <c r="P573" s="223"/>
      <c r="Q573" s="224"/>
      <c r="R573" s="99"/>
      <c r="S573" s="99"/>
      <c r="T573" s="157"/>
      <c r="U573" s="158"/>
      <c r="V573" s="158"/>
      <c r="W573" s="110"/>
      <c r="X573" s="110"/>
      <c r="Y573" s="197"/>
      <c r="Z573" s="197"/>
      <c r="AA573" s="197"/>
      <c r="AB573" s="225"/>
      <c r="AC573" s="99"/>
      <c r="AD573" s="226"/>
      <c r="AE573" s="99"/>
      <c r="AF573" s="99"/>
      <c r="AG573" s="99"/>
      <c r="AH573" s="99"/>
      <c r="AI573" s="99"/>
      <c r="AJ573" s="99"/>
      <c r="AK573" s="99"/>
      <c r="AL573" s="99"/>
      <c r="AM573" s="99"/>
      <c r="AN573" s="99"/>
      <c r="AO573" s="99"/>
      <c r="AP573" s="99"/>
      <c r="AQ573" s="99"/>
    </row>
    <row r="574" spans="1:43" ht="15.75" customHeight="1">
      <c r="A574" s="99"/>
      <c r="B574" s="99"/>
      <c r="C574" s="261"/>
      <c r="D574" s="232"/>
      <c r="E574" s="221"/>
      <c r="F574" s="99"/>
      <c r="G574" s="99"/>
      <c r="H574" s="222"/>
      <c r="I574" s="99"/>
      <c r="J574" s="35"/>
      <c r="K574" s="35"/>
      <c r="L574" s="35"/>
      <c r="M574" s="99"/>
      <c r="N574" s="99"/>
      <c r="O574" s="99"/>
      <c r="P574" s="223"/>
      <c r="Q574" s="224"/>
      <c r="R574" s="99"/>
      <c r="S574" s="99"/>
      <c r="T574" s="157"/>
      <c r="U574" s="158"/>
      <c r="V574" s="158"/>
      <c r="W574" s="110"/>
      <c r="X574" s="110"/>
      <c r="Y574" s="197"/>
      <c r="Z574" s="197"/>
      <c r="AA574" s="197"/>
      <c r="AB574" s="225"/>
      <c r="AC574" s="99"/>
      <c r="AD574" s="226"/>
      <c r="AE574" s="99"/>
      <c r="AF574" s="99"/>
      <c r="AG574" s="99"/>
      <c r="AH574" s="99"/>
      <c r="AI574" s="99"/>
      <c r="AJ574" s="99"/>
      <c r="AK574" s="99"/>
      <c r="AL574" s="99"/>
      <c r="AM574" s="99"/>
      <c r="AN574" s="99"/>
      <c r="AO574" s="99"/>
      <c r="AP574" s="99"/>
      <c r="AQ574" s="99"/>
    </row>
    <row r="575" spans="1:43" ht="15.75" customHeight="1">
      <c r="A575" s="99"/>
      <c r="B575" s="99"/>
      <c r="C575" s="261"/>
      <c r="D575" s="232"/>
      <c r="E575" s="221"/>
      <c r="F575" s="99"/>
      <c r="G575" s="99"/>
      <c r="H575" s="222"/>
      <c r="I575" s="99"/>
      <c r="J575" s="35"/>
      <c r="K575" s="35"/>
      <c r="L575" s="35"/>
      <c r="M575" s="99"/>
      <c r="N575" s="99"/>
      <c r="O575" s="99"/>
      <c r="P575" s="223"/>
      <c r="Q575" s="224"/>
      <c r="R575" s="99"/>
      <c r="S575" s="99"/>
      <c r="T575" s="157"/>
      <c r="U575" s="158"/>
      <c r="V575" s="158"/>
      <c r="W575" s="110"/>
      <c r="X575" s="110"/>
      <c r="Y575" s="197"/>
      <c r="Z575" s="197"/>
      <c r="AA575" s="197"/>
      <c r="AB575" s="225"/>
      <c r="AC575" s="99"/>
      <c r="AD575" s="226"/>
      <c r="AE575" s="99"/>
      <c r="AF575" s="99"/>
      <c r="AG575" s="99"/>
      <c r="AH575" s="99"/>
      <c r="AI575" s="99"/>
      <c r="AJ575" s="99"/>
      <c r="AK575" s="99"/>
      <c r="AL575" s="99"/>
      <c r="AM575" s="99"/>
      <c r="AN575" s="99"/>
      <c r="AO575" s="99"/>
      <c r="AP575" s="99"/>
      <c r="AQ575" s="99"/>
    </row>
    <row r="576" spans="1:43" ht="15.75" customHeight="1">
      <c r="A576" s="99"/>
      <c r="B576" s="99"/>
      <c r="C576" s="261"/>
      <c r="D576" s="232"/>
      <c r="E576" s="221"/>
      <c r="F576" s="99"/>
      <c r="G576" s="99"/>
      <c r="H576" s="222"/>
      <c r="I576" s="99"/>
      <c r="J576" s="35"/>
      <c r="K576" s="35"/>
      <c r="L576" s="35"/>
      <c r="M576" s="99"/>
      <c r="N576" s="99"/>
      <c r="O576" s="99"/>
      <c r="P576" s="223"/>
      <c r="Q576" s="224"/>
      <c r="R576" s="99"/>
      <c r="S576" s="99"/>
      <c r="T576" s="157"/>
      <c r="U576" s="158"/>
      <c r="V576" s="158"/>
      <c r="W576" s="110"/>
      <c r="X576" s="110"/>
      <c r="Y576" s="197"/>
      <c r="Z576" s="197"/>
      <c r="AA576" s="197"/>
      <c r="AB576" s="225"/>
      <c r="AC576" s="99"/>
      <c r="AD576" s="226"/>
      <c r="AE576" s="99"/>
      <c r="AF576" s="99"/>
      <c r="AG576" s="99"/>
      <c r="AH576" s="99"/>
      <c r="AI576" s="99"/>
      <c r="AJ576" s="99"/>
      <c r="AK576" s="99"/>
      <c r="AL576" s="99"/>
      <c r="AM576" s="99"/>
      <c r="AN576" s="99"/>
      <c r="AO576" s="99"/>
      <c r="AP576" s="99"/>
      <c r="AQ576" s="99"/>
    </row>
    <row r="577" spans="1:43" ht="15.75" customHeight="1">
      <c r="A577" s="99"/>
      <c r="B577" s="99"/>
      <c r="C577" s="261"/>
      <c r="D577" s="232"/>
      <c r="E577" s="221"/>
      <c r="F577" s="99"/>
      <c r="G577" s="99"/>
      <c r="H577" s="222"/>
      <c r="I577" s="99"/>
      <c r="J577" s="35"/>
      <c r="K577" s="35"/>
      <c r="L577" s="35"/>
      <c r="M577" s="99"/>
      <c r="N577" s="99"/>
      <c r="O577" s="99"/>
      <c r="P577" s="223"/>
      <c r="Q577" s="224"/>
      <c r="R577" s="99"/>
      <c r="S577" s="99"/>
      <c r="T577" s="157"/>
      <c r="U577" s="158"/>
      <c r="V577" s="158"/>
      <c r="W577" s="110"/>
      <c r="X577" s="110"/>
      <c r="Y577" s="197"/>
      <c r="Z577" s="197"/>
      <c r="AA577" s="197"/>
      <c r="AB577" s="225"/>
      <c r="AC577" s="99"/>
      <c r="AD577" s="226"/>
      <c r="AE577" s="99"/>
      <c r="AF577" s="99"/>
      <c r="AG577" s="99"/>
      <c r="AH577" s="99"/>
      <c r="AI577" s="99"/>
      <c r="AJ577" s="99"/>
      <c r="AK577" s="99"/>
      <c r="AL577" s="99"/>
      <c r="AM577" s="99"/>
      <c r="AN577" s="99"/>
      <c r="AO577" s="99"/>
      <c r="AP577" s="99"/>
      <c r="AQ577" s="99"/>
    </row>
    <row r="578" spans="1:43" ht="15.75" customHeight="1">
      <c r="A578" s="99"/>
      <c r="B578" s="99"/>
      <c r="C578" s="261"/>
      <c r="D578" s="232"/>
      <c r="E578" s="221"/>
      <c r="F578" s="99"/>
      <c r="G578" s="99"/>
      <c r="H578" s="222"/>
      <c r="I578" s="99"/>
      <c r="J578" s="35"/>
      <c r="K578" s="35"/>
      <c r="L578" s="35"/>
      <c r="M578" s="99"/>
      <c r="N578" s="99"/>
      <c r="O578" s="99"/>
      <c r="P578" s="223"/>
      <c r="Q578" s="224"/>
      <c r="R578" s="99"/>
      <c r="S578" s="99"/>
      <c r="T578" s="157"/>
      <c r="U578" s="158"/>
      <c r="V578" s="158"/>
      <c r="W578" s="110"/>
      <c r="X578" s="110"/>
      <c r="Y578" s="197"/>
      <c r="Z578" s="197"/>
      <c r="AA578" s="197"/>
      <c r="AB578" s="225"/>
      <c r="AC578" s="99"/>
      <c r="AD578" s="226"/>
      <c r="AE578" s="99"/>
      <c r="AF578" s="99"/>
      <c r="AG578" s="99"/>
      <c r="AH578" s="99"/>
      <c r="AI578" s="99"/>
      <c r="AJ578" s="99"/>
      <c r="AK578" s="99"/>
      <c r="AL578" s="99"/>
      <c r="AM578" s="99"/>
      <c r="AN578" s="99"/>
      <c r="AO578" s="99"/>
      <c r="AP578" s="99"/>
      <c r="AQ578" s="99"/>
    </row>
    <row r="579" spans="1:43" ht="15.75" customHeight="1">
      <c r="A579" s="99"/>
      <c r="B579" s="99"/>
      <c r="C579" s="261"/>
      <c r="D579" s="232"/>
      <c r="E579" s="221"/>
      <c r="F579" s="99"/>
      <c r="G579" s="99"/>
      <c r="H579" s="222"/>
      <c r="I579" s="99"/>
      <c r="J579" s="35"/>
      <c r="K579" s="35"/>
      <c r="L579" s="35"/>
      <c r="M579" s="99"/>
      <c r="N579" s="99"/>
      <c r="O579" s="99"/>
      <c r="P579" s="223"/>
      <c r="Q579" s="224"/>
      <c r="R579" s="99"/>
      <c r="S579" s="99"/>
      <c r="T579" s="157"/>
      <c r="U579" s="158"/>
      <c r="V579" s="158"/>
      <c r="W579" s="110"/>
      <c r="X579" s="110"/>
      <c r="Y579" s="197"/>
      <c r="Z579" s="197"/>
      <c r="AA579" s="197"/>
      <c r="AB579" s="225"/>
      <c r="AC579" s="99"/>
      <c r="AD579" s="226"/>
      <c r="AE579" s="99"/>
      <c r="AF579" s="99"/>
      <c r="AG579" s="99"/>
      <c r="AH579" s="99"/>
      <c r="AI579" s="99"/>
      <c r="AJ579" s="99"/>
      <c r="AK579" s="99"/>
      <c r="AL579" s="99"/>
      <c r="AM579" s="99"/>
      <c r="AN579" s="99"/>
      <c r="AO579" s="99"/>
      <c r="AP579" s="99"/>
      <c r="AQ579" s="99"/>
    </row>
    <row r="580" spans="1:43" ht="15.75" customHeight="1">
      <c r="A580" s="99"/>
      <c r="B580" s="99"/>
      <c r="C580" s="261"/>
      <c r="D580" s="232"/>
      <c r="E580" s="221"/>
      <c r="F580" s="99"/>
      <c r="G580" s="99"/>
      <c r="H580" s="222"/>
      <c r="I580" s="99"/>
      <c r="J580" s="35"/>
      <c r="K580" s="35"/>
      <c r="L580" s="35"/>
      <c r="M580" s="99"/>
      <c r="N580" s="99"/>
      <c r="O580" s="99"/>
      <c r="P580" s="223"/>
      <c r="Q580" s="224"/>
      <c r="R580" s="99"/>
      <c r="S580" s="99"/>
      <c r="T580" s="157"/>
      <c r="U580" s="158"/>
      <c r="V580" s="158"/>
      <c r="W580" s="110"/>
      <c r="X580" s="110"/>
      <c r="Y580" s="197"/>
      <c r="Z580" s="197"/>
      <c r="AA580" s="197"/>
      <c r="AB580" s="225"/>
      <c r="AC580" s="99"/>
      <c r="AD580" s="226"/>
      <c r="AE580" s="99"/>
      <c r="AF580" s="99"/>
      <c r="AG580" s="99"/>
      <c r="AH580" s="99"/>
      <c r="AI580" s="99"/>
      <c r="AJ580" s="99"/>
      <c r="AK580" s="99"/>
      <c r="AL580" s="99"/>
      <c r="AM580" s="99"/>
      <c r="AN580" s="99"/>
      <c r="AO580" s="99"/>
      <c r="AP580" s="99"/>
      <c r="AQ580" s="99"/>
    </row>
    <row r="581" spans="1:43" ht="15.75" customHeight="1">
      <c r="A581" s="99"/>
      <c r="B581" s="99"/>
      <c r="C581" s="261"/>
      <c r="D581" s="232"/>
      <c r="E581" s="221"/>
      <c r="F581" s="99"/>
      <c r="G581" s="99"/>
      <c r="H581" s="222"/>
      <c r="I581" s="99"/>
      <c r="J581" s="35"/>
      <c r="K581" s="35"/>
      <c r="L581" s="35"/>
      <c r="M581" s="99"/>
      <c r="N581" s="99"/>
      <c r="O581" s="99"/>
      <c r="P581" s="223"/>
      <c r="Q581" s="224"/>
      <c r="R581" s="99"/>
      <c r="S581" s="99"/>
      <c r="T581" s="157"/>
      <c r="U581" s="158"/>
      <c r="V581" s="158"/>
      <c r="W581" s="110"/>
      <c r="X581" s="110"/>
      <c r="Y581" s="197"/>
      <c r="Z581" s="197"/>
      <c r="AA581" s="197"/>
      <c r="AB581" s="225"/>
      <c r="AC581" s="99"/>
      <c r="AD581" s="226"/>
      <c r="AE581" s="99"/>
      <c r="AF581" s="99"/>
      <c r="AG581" s="99"/>
      <c r="AH581" s="99"/>
      <c r="AI581" s="99"/>
      <c r="AJ581" s="99"/>
      <c r="AK581" s="99"/>
      <c r="AL581" s="99"/>
      <c r="AM581" s="99"/>
      <c r="AN581" s="99"/>
      <c r="AO581" s="99"/>
      <c r="AP581" s="99"/>
      <c r="AQ581" s="99"/>
    </row>
    <row r="582" spans="1:43" ht="15.75" customHeight="1">
      <c r="A582" s="99"/>
      <c r="B582" s="99"/>
      <c r="C582" s="261"/>
      <c r="D582" s="232"/>
      <c r="E582" s="221"/>
      <c r="F582" s="99"/>
      <c r="G582" s="99"/>
      <c r="H582" s="222"/>
      <c r="I582" s="99"/>
      <c r="J582" s="35"/>
      <c r="K582" s="35"/>
      <c r="L582" s="35"/>
      <c r="M582" s="99"/>
      <c r="N582" s="99"/>
      <c r="O582" s="99"/>
      <c r="P582" s="223"/>
      <c r="Q582" s="224"/>
      <c r="R582" s="99"/>
      <c r="S582" s="99"/>
      <c r="T582" s="157"/>
      <c r="U582" s="158"/>
      <c r="V582" s="158"/>
      <c r="W582" s="110"/>
      <c r="X582" s="110"/>
      <c r="Y582" s="197"/>
      <c r="Z582" s="197"/>
      <c r="AA582" s="197"/>
      <c r="AB582" s="225"/>
      <c r="AC582" s="99"/>
      <c r="AD582" s="226"/>
      <c r="AE582" s="99"/>
      <c r="AF582" s="99"/>
      <c r="AG582" s="99"/>
      <c r="AH582" s="99"/>
      <c r="AI582" s="99"/>
      <c r="AJ582" s="99"/>
      <c r="AK582" s="99"/>
      <c r="AL582" s="99"/>
      <c r="AM582" s="99"/>
      <c r="AN582" s="99"/>
      <c r="AO582" s="99"/>
      <c r="AP582" s="99"/>
      <c r="AQ582" s="99"/>
    </row>
    <row r="583" spans="1:43" ht="15.75" customHeight="1">
      <c r="A583" s="99"/>
      <c r="B583" s="99"/>
      <c r="C583" s="261"/>
      <c r="D583" s="232"/>
      <c r="E583" s="221"/>
      <c r="F583" s="99"/>
      <c r="G583" s="99"/>
      <c r="H583" s="222"/>
      <c r="I583" s="99"/>
      <c r="J583" s="35"/>
      <c r="K583" s="35"/>
      <c r="L583" s="35"/>
      <c r="M583" s="99"/>
      <c r="N583" s="99"/>
      <c r="O583" s="99"/>
      <c r="P583" s="223"/>
      <c r="Q583" s="224"/>
      <c r="R583" s="99"/>
      <c r="S583" s="99"/>
      <c r="T583" s="157"/>
      <c r="U583" s="158"/>
      <c r="V583" s="158"/>
      <c r="W583" s="110"/>
      <c r="X583" s="110"/>
      <c r="Y583" s="197"/>
      <c r="Z583" s="197"/>
      <c r="AA583" s="197"/>
      <c r="AB583" s="225"/>
      <c r="AC583" s="99"/>
      <c r="AD583" s="226"/>
      <c r="AE583" s="99"/>
      <c r="AF583" s="99"/>
      <c r="AG583" s="99"/>
      <c r="AH583" s="99"/>
      <c r="AI583" s="99"/>
      <c r="AJ583" s="99"/>
      <c r="AK583" s="99"/>
      <c r="AL583" s="99"/>
      <c r="AM583" s="99"/>
      <c r="AN583" s="99"/>
      <c r="AO583" s="99"/>
      <c r="AP583" s="99"/>
      <c r="AQ583" s="99"/>
    </row>
    <row r="584" spans="1:43" ht="15.75" customHeight="1">
      <c r="A584" s="99"/>
      <c r="B584" s="99"/>
      <c r="C584" s="261"/>
      <c r="D584" s="232"/>
      <c r="E584" s="221"/>
      <c r="F584" s="99"/>
      <c r="G584" s="99"/>
      <c r="H584" s="222"/>
      <c r="I584" s="99"/>
      <c r="J584" s="35"/>
      <c r="K584" s="35"/>
      <c r="L584" s="35"/>
      <c r="M584" s="99"/>
      <c r="N584" s="99"/>
      <c r="O584" s="99"/>
      <c r="P584" s="223"/>
      <c r="Q584" s="224"/>
      <c r="R584" s="99"/>
      <c r="S584" s="99"/>
      <c r="T584" s="157"/>
      <c r="U584" s="158"/>
      <c r="V584" s="158"/>
      <c r="W584" s="110"/>
      <c r="X584" s="110"/>
      <c r="Y584" s="197"/>
      <c r="Z584" s="197"/>
      <c r="AA584" s="197"/>
      <c r="AB584" s="225"/>
      <c r="AC584" s="99"/>
      <c r="AD584" s="226"/>
      <c r="AE584" s="99"/>
      <c r="AF584" s="99"/>
      <c r="AG584" s="99"/>
      <c r="AH584" s="99"/>
      <c r="AI584" s="99"/>
      <c r="AJ584" s="99"/>
      <c r="AK584" s="99"/>
      <c r="AL584" s="99"/>
      <c r="AM584" s="99"/>
      <c r="AN584" s="99"/>
      <c r="AO584" s="99"/>
      <c r="AP584" s="99"/>
      <c r="AQ584" s="99"/>
    </row>
    <row r="585" spans="1:43" ht="15.75" customHeight="1">
      <c r="A585" s="99"/>
      <c r="B585" s="99"/>
      <c r="C585" s="261"/>
      <c r="D585" s="232"/>
      <c r="E585" s="221"/>
      <c r="F585" s="99"/>
      <c r="G585" s="99"/>
      <c r="H585" s="222"/>
      <c r="I585" s="99"/>
      <c r="J585" s="35"/>
      <c r="K585" s="35"/>
      <c r="L585" s="35"/>
      <c r="M585" s="99"/>
      <c r="N585" s="99"/>
      <c r="O585" s="99"/>
      <c r="P585" s="223"/>
      <c r="Q585" s="224"/>
      <c r="R585" s="99"/>
      <c r="S585" s="99"/>
      <c r="T585" s="157"/>
      <c r="U585" s="158"/>
      <c r="V585" s="158"/>
      <c r="W585" s="110"/>
      <c r="X585" s="110"/>
      <c r="Y585" s="197"/>
      <c r="Z585" s="197"/>
      <c r="AA585" s="197"/>
      <c r="AB585" s="225"/>
      <c r="AC585" s="99"/>
      <c r="AD585" s="226"/>
      <c r="AE585" s="99"/>
      <c r="AF585" s="99"/>
      <c r="AG585" s="99"/>
      <c r="AH585" s="99"/>
      <c r="AI585" s="99"/>
      <c r="AJ585" s="99"/>
      <c r="AK585" s="99"/>
      <c r="AL585" s="99"/>
      <c r="AM585" s="99"/>
      <c r="AN585" s="99"/>
      <c r="AO585" s="99"/>
      <c r="AP585" s="99"/>
      <c r="AQ585" s="99"/>
    </row>
    <row r="586" spans="1:43" ht="15.75" customHeight="1">
      <c r="A586" s="99"/>
      <c r="B586" s="99"/>
      <c r="C586" s="261"/>
      <c r="D586" s="232"/>
      <c r="E586" s="221"/>
      <c r="F586" s="99"/>
      <c r="G586" s="99"/>
      <c r="H586" s="222"/>
      <c r="I586" s="99"/>
      <c r="J586" s="35"/>
      <c r="K586" s="35"/>
      <c r="L586" s="35"/>
      <c r="M586" s="99"/>
      <c r="N586" s="99"/>
      <c r="O586" s="99"/>
      <c r="P586" s="223"/>
      <c r="Q586" s="224"/>
      <c r="R586" s="99"/>
      <c r="S586" s="99"/>
      <c r="T586" s="157"/>
      <c r="U586" s="158"/>
      <c r="V586" s="158"/>
      <c r="W586" s="110"/>
      <c r="X586" s="110"/>
      <c r="Y586" s="197"/>
      <c r="Z586" s="197"/>
      <c r="AA586" s="197"/>
      <c r="AB586" s="225"/>
      <c r="AC586" s="99"/>
      <c r="AD586" s="226"/>
      <c r="AE586" s="99"/>
      <c r="AF586" s="99"/>
      <c r="AG586" s="99"/>
      <c r="AH586" s="99"/>
      <c r="AI586" s="99"/>
      <c r="AJ586" s="99"/>
      <c r="AK586" s="99"/>
      <c r="AL586" s="99"/>
      <c r="AM586" s="99"/>
      <c r="AN586" s="99"/>
      <c r="AO586" s="99"/>
      <c r="AP586" s="99"/>
      <c r="AQ586" s="99"/>
    </row>
    <row r="587" spans="1:43" ht="15.75" customHeight="1">
      <c r="A587" s="99"/>
      <c r="B587" s="99"/>
      <c r="C587" s="261"/>
      <c r="D587" s="232"/>
      <c r="E587" s="221"/>
      <c r="F587" s="99"/>
      <c r="G587" s="99"/>
      <c r="H587" s="222"/>
      <c r="I587" s="99"/>
      <c r="J587" s="35"/>
      <c r="K587" s="35"/>
      <c r="L587" s="35"/>
      <c r="M587" s="99"/>
      <c r="N587" s="99"/>
      <c r="O587" s="99"/>
      <c r="P587" s="223"/>
      <c r="Q587" s="224"/>
      <c r="R587" s="99"/>
      <c r="S587" s="99"/>
      <c r="T587" s="157"/>
      <c r="U587" s="158"/>
      <c r="V587" s="158"/>
      <c r="W587" s="110"/>
      <c r="X587" s="110"/>
      <c r="Y587" s="197"/>
      <c r="Z587" s="197"/>
      <c r="AA587" s="197"/>
      <c r="AB587" s="225"/>
      <c r="AC587" s="99"/>
      <c r="AD587" s="226"/>
      <c r="AE587" s="99"/>
      <c r="AF587" s="99"/>
      <c r="AG587" s="99"/>
      <c r="AH587" s="99"/>
      <c r="AI587" s="99"/>
      <c r="AJ587" s="99"/>
      <c r="AK587" s="99"/>
      <c r="AL587" s="99"/>
      <c r="AM587" s="99"/>
      <c r="AN587" s="99"/>
      <c r="AO587" s="99"/>
      <c r="AP587" s="99"/>
      <c r="AQ587" s="99"/>
    </row>
    <row r="588" spans="1:43" ht="15.75" customHeight="1">
      <c r="A588" s="99"/>
      <c r="B588" s="99"/>
      <c r="C588" s="261"/>
      <c r="D588" s="232"/>
      <c r="E588" s="221"/>
      <c r="F588" s="99"/>
      <c r="G588" s="99"/>
      <c r="H588" s="222"/>
      <c r="I588" s="99"/>
      <c r="J588" s="35"/>
      <c r="K588" s="35"/>
      <c r="L588" s="35"/>
      <c r="M588" s="99"/>
      <c r="N588" s="99"/>
      <c r="O588" s="99"/>
      <c r="P588" s="223"/>
      <c r="Q588" s="224"/>
      <c r="R588" s="99"/>
      <c r="S588" s="99"/>
      <c r="T588" s="157"/>
      <c r="U588" s="158"/>
      <c r="V588" s="158"/>
      <c r="W588" s="110"/>
      <c r="X588" s="110"/>
      <c r="Y588" s="197"/>
      <c r="Z588" s="197"/>
      <c r="AA588" s="197"/>
      <c r="AB588" s="225"/>
      <c r="AC588" s="99"/>
      <c r="AD588" s="226"/>
      <c r="AE588" s="99"/>
      <c r="AF588" s="99"/>
      <c r="AG588" s="99"/>
      <c r="AH588" s="99"/>
      <c r="AI588" s="99"/>
      <c r="AJ588" s="99"/>
      <c r="AK588" s="99"/>
      <c r="AL588" s="99"/>
      <c r="AM588" s="99"/>
      <c r="AN588" s="99"/>
      <c r="AO588" s="99"/>
      <c r="AP588" s="99"/>
      <c r="AQ588" s="99"/>
    </row>
    <row r="589" spans="1:43" ht="15.75" customHeight="1">
      <c r="A589" s="99"/>
      <c r="B589" s="99"/>
      <c r="C589" s="261"/>
      <c r="D589" s="232"/>
      <c r="E589" s="221"/>
      <c r="F589" s="99"/>
      <c r="G589" s="99"/>
      <c r="H589" s="222"/>
      <c r="I589" s="99"/>
      <c r="J589" s="35"/>
      <c r="K589" s="35"/>
      <c r="L589" s="35"/>
      <c r="M589" s="99"/>
      <c r="N589" s="99"/>
      <c r="O589" s="99"/>
      <c r="P589" s="223"/>
      <c r="Q589" s="224"/>
      <c r="R589" s="99"/>
      <c r="S589" s="99"/>
      <c r="T589" s="157"/>
      <c r="U589" s="158"/>
      <c r="V589" s="158"/>
      <c r="W589" s="110"/>
      <c r="X589" s="110"/>
      <c r="Y589" s="197"/>
      <c r="Z589" s="197"/>
      <c r="AA589" s="197"/>
      <c r="AB589" s="225"/>
      <c r="AC589" s="99"/>
      <c r="AD589" s="226"/>
      <c r="AE589" s="99"/>
      <c r="AF589" s="99"/>
      <c r="AG589" s="99"/>
      <c r="AH589" s="99"/>
      <c r="AI589" s="99"/>
      <c r="AJ589" s="99"/>
      <c r="AK589" s="99"/>
      <c r="AL589" s="99"/>
      <c r="AM589" s="99"/>
      <c r="AN589" s="99"/>
      <c r="AO589" s="99"/>
      <c r="AP589" s="99"/>
      <c r="AQ589" s="99"/>
    </row>
    <row r="590" spans="1:43" ht="15.75" customHeight="1">
      <c r="A590" s="99"/>
      <c r="B590" s="99"/>
      <c r="C590" s="261"/>
      <c r="D590" s="232"/>
      <c r="E590" s="221"/>
      <c r="F590" s="99"/>
      <c r="G590" s="99"/>
      <c r="H590" s="222"/>
      <c r="I590" s="99"/>
      <c r="J590" s="35"/>
      <c r="K590" s="35"/>
      <c r="L590" s="35"/>
      <c r="M590" s="99"/>
      <c r="N590" s="99"/>
      <c r="O590" s="99"/>
      <c r="P590" s="223"/>
      <c r="Q590" s="224"/>
      <c r="R590" s="99"/>
      <c r="S590" s="99"/>
      <c r="T590" s="157"/>
      <c r="U590" s="158"/>
      <c r="V590" s="158"/>
      <c r="W590" s="110"/>
      <c r="X590" s="110"/>
      <c r="Y590" s="197"/>
      <c r="Z590" s="197"/>
      <c r="AA590" s="197"/>
      <c r="AB590" s="225"/>
      <c r="AC590" s="99"/>
      <c r="AD590" s="226"/>
      <c r="AE590" s="99"/>
      <c r="AF590" s="99"/>
      <c r="AG590" s="99"/>
      <c r="AH590" s="99"/>
      <c r="AI590" s="99"/>
      <c r="AJ590" s="99"/>
      <c r="AK590" s="99"/>
      <c r="AL590" s="99"/>
      <c r="AM590" s="99"/>
      <c r="AN590" s="99"/>
      <c r="AO590" s="99"/>
      <c r="AP590" s="99"/>
      <c r="AQ590" s="99"/>
    </row>
    <row r="591" spans="1:43" ht="15.75" customHeight="1">
      <c r="A591" s="99"/>
      <c r="B591" s="99"/>
      <c r="C591" s="261"/>
      <c r="D591" s="232"/>
      <c r="E591" s="221"/>
      <c r="F591" s="99"/>
      <c r="G591" s="99"/>
      <c r="H591" s="222"/>
      <c r="I591" s="99"/>
      <c r="J591" s="35"/>
      <c r="K591" s="35"/>
      <c r="L591" s="35"/>
      <c r="M591" s="99"/>
      <c r="N591" s="99"/>
      <c r="O591" s="99"/>
      <c r="P591" s="223"/>
      <c r="Q591" s="224"/>
      <c r="R591" s="99"/>
      <c r="S591" s="99"/>
      <c r="T591" s="157"/>
      <c r="U591" s="158"/>
      <c r="V591" s="158"/>
      <c r="W591" s="110"/>
      <c r="X591" s="110"/>
      <c r="Y591" s="197"/>
      <c r="Z591" s="197"/>
      <c r="AA591" s="197"/>
      <c r="AB591" s="225"/>
      <c r="AC591" s="99"/>
      <c r="AD591" s="226"/>
      <c r="AE591" s="99"/>
      <c r="AF591" s="99"/>
      <c r="AG591" s="99"/>
      <c r="AH591" s="99"/>
      <c r="AI591" s="99"/>
      <c r="AJ591" s="99"/>
      <c r="AK591" s="99"/>
      <c r="AL591" s="99"/>
      <c r="AM591" s="99"/>
      <c r="AN591" s="99"/>
      <c r="AO591" s="99"/>
      <c r="AP591" s="99"/>
      <c r="AQ591" s="99"/>
    </row>
    <row r="592" spans="1:43" ht="15.75" customHeight="1">
      <c r="A592" s="99"/>
      <c r="B592" s="99"/>
      <c r="C592" s="261"/>
      <c r="D592" s="232"/>
      <c r="E592" s="221"/>
      <c r="F592" s="99"/>
      <c r="G592" s="99"/>
      <c r="H592" s="222"/>
      <c r="I592" s="99"/>
      <c r="J592" s="35"/>
      <c r="K592" s="35"/>
      <c r="L592" s="35"/>
      <c r="M592" s="99"/>
      <c r="N592" s="99"/>
      <c r="O592" s="99"/>
      <c r="P592" s="223"/>
      <c r="Q592" s="224"/>
      <c r="R592" s="99"/>
      <c r="S592" s="99"/>
      <c r="T592" s="157"/>
      <c r="U592" s="158"/>
      <c r="V592" s="158"/>
      <c r="W592" s="110"/>
      <c r="X592" s="110"/>
      <c r="Y592" s="197"/>
      <c r="Z592" s="197"/>
      <c r="AA592" s="197"/>
      <c r="AB592" s="225"/>
      <c r="AC592" s="99"/>
      <c r="AD592" s="226"/>
      <c r="AE592" s="99"/>
      <c r="AF592" s="99"/>
      <c r="AG592" s="99"/>
      <c r="AH592" s="99"/>
      <c r="AI592" s="99"/>
      <c r="AJ592" s="99"/>
      <c r="AK592" s="99"/>
      <c r="AL592" s="99"/>
      <c r="AM592" s="99"/>
      <c r="AN592" s="99"/>
      <c r="AO592" s="99"/>
      <c r="AP592" s="99"/>
      <c r="AQ592" s="99"/>
    </row>
    <row r="593" spans="1:43" ht="15.75" customHeight="1">
      <c r="A593" s="99"/>
      <c r="B593" s="99"/>
      <c r="C593" s="261"/>
      <c r="D593" s="232"/>
      <c r="E593" s="221"/>
      <c r="F593" s="99"/>
      <c r="G593" s="99"/>
      <c r="H593" s="222"/>
      <c r="I593" s="99"/>
      <c r="J593" s="35"/>
      <c r="K593" s="35"/>
      <c r="L593" s="35"/>
      <c r="M593" s="99"/>
      <c r="N593" s="99"/>
      <c r="O593" s="99"/>
      <c r="P593" s="223"/>
      <c r="Q593" s="224"/>
      <c r="R593" s="99"/>
      <c r="S593" s="99"/>
      <c r="T593" s="157"/>
      <c r="U593" s="158"/>
      <c r="V593" s="158"/>
      <c r="W593" s="110"/>
      <c r="X593" s="110"/>
      <c r="Y593" s="197"/>
      <c r="Z593" s="197"/>
      <c r="AA593" s="197"/>
      <c r="AB593" s="225"/>
      <c r="AC593" s="99"/>
      <c r="AD593" s="226"/>
      <c r="AE593" s="99"/>
      <c r="AF593" s="99"/>
      <c r="AG593" s="99"/>
      <c r="AH593" s="99"/>
      <c r="AI593" s="99"/>
      <c r="AJ593" s="99"/>
      <c r="AK593" s="99"/>
      <c r="AL593" s="99"/>
      <c r="AM593" s="99"/>
      <c r="AN593" s="99"/>
      <c r="AO593" s="99"/>
      <c r="AP593" s="99"/>
      <c r="AQ593" s="99"/>
    </row>
    <row r="594" spans="1:43" ht="15.75" customHeight="1">
      <c r="A594" s="99"/>
      <c r="B594" s="99"/>
      <c r="C594" s="261"/>
      <c r="D594" s="232"/>
      <c r="E594" s="221"/>
      <c r="F594" s="99"/>
      <c r="G594" s="99"/>
      <c r="H594" s="222"/>
      <c r="I594" s="99"/>
      <c r="J594" s="35"/>
      <c r="K594" s="35"/>
      <c r="L594" s="35"/>
      <c r="M594" s="99"/>
      <c r="N594" s="99"/>
      <c r="O594" s="99"/>
      <c r="P594" s="223"/>
      <c r="Q594" s="224"/>
      <c r="R594" s="99"/>
      <c r="S594" s="99"/>
      <c r="T594" s="157"/>
      <c r="U594" s="158"/>
      <c r="V594" s="158"/>
      <c r="W594" s="110"/>
      <c r="X594" s="110"/>
      <c r="Y594" s="197"/>
      <c r="Z594" s="197"/>
      <c r="AA594" s="197"/>
      <c r="AB594" s="225"/>
      <c r="AC594" s="99"/>
      <c r="AD594" s="226"/>
      <c r="AE594" s="99"/>
      <c r="AF594" s="99"/>
      <c r="AG594" s="99"/>
      <c r="AH594" s="99"/>
      <c r="AI594" s="99"/>
      <c r="AJ594" s="99"/>
      <c r="AK594" s="99"/>
      <c r="AL594" s="99"/>
      <c r="AM594" s="99"/>
      <c r="AN594" s="99"/>
      <c r="AO594" s="99"/>
      <c r="AP594" s="99"/>
      <c r="AQ594" s="99"/>
    </row>
    <row r="595" spans="1:43" ht="15.75" customHeight="1">
      <c r="A595" s="99"/>
      <c r="B595" s="99"/>
      <c r="C595" s="261"/>
      <c r="D595" s="232"/>
      <c r="E595" s="221"/>
      <c r="F595" s="99"/>
      <c r="G595" s="99"/>
      <c r="H595" s="222"/>
      <c r="I595" s="99"/>
      <c r="J595" s="35"/>
      <c r="K595" s="35"/>
      <c r="L595" s="35"/>
      <c r="M595" s="99"/>
      <c r="N595" s="99"/>
      <c r="O595" s="99"/>
      <c r="P595" s="223"/>
      <c r="Q595" s="224"/>
      <c r="R595" s="99"/>
      <c r="S595" s="99"/>
      <c r="T595" s="157"/>
      <c r="U595" s="158"/>
      <c r="V595" s="158"/>
      <c r="W595" s="110"/>
      <c r="X595" s="110"/>
      <c r="Y595" s="197"/>
      <c r="Z595" s="197"/>
      <c r="AA595" s="197"/>
      <c r="AB595" s="225"/>
      <c r="AC595" s="99"/>
      <c r="AD595" s="226"/>
      <c r="AE595" s="99"/>
      <c r="AF595" s="99"/>
      <c r="AG595" s="99"/>
      <c r="AH595" s="99"/>
      <c r="AI595" s="99"/>
      <c r="AJ595" s="99"/>
      <c r="AK595" s="99"/>
      <c r="AL595" s="99"/>
      <c r="AM595" s="99"/>
      <c r="AN595" s="99"/>
      <c r="AO595" s="99"/>
      <c r="AP595" s="99"/>
      <c r="AQ595" s="99"/>
    </row>
    <row r="596" spans="1:43" ht="15.75" customHeight="1">
      <c r="A596" s="99"/>
      <c r="B596" s="99"/>
      <c r="C596" s="261"/>
      <c r="D596" s="232"/>
      <c r="E596" s="221"/>
      <c r="F596" s="99"/>
      <c r="G596" s="99"/>
      <c r="H596" s="222"/>
      <c r="I596" s="99"/>
      <c r="J596" s="35"/>
      <c r="K596" s="35"/>
      <c r="L596" s="35"/>
      <c r="M596" s="99"/>
      <c r="N596" s="99"/>
      <c r="O596" s="99"/>
      <c r="P596" s="223"/>
      <c r="Q596" s="224"/>
      <c r="R596" s="99"/>
      <c r="S596" s="99"/>
      <c r="T596" s="157"/>
      <c r="U596" s="158"/>
      <c r="V596" s="158"/>
      <c r="W596" s="110"/>
      <c r="X596" s="110"/>
      <c r="Y596" s="197"/>
      <c r="Z596" s="197"/>
      <c r="AA596" s="197"/>
      <c r="AB596" s="225"/>
      <c r="AC596" s="99"/>
      <c r="AD596" s="226"/>
      <c r="AE596" s="99"/>
      <c r="AF596" s="99"/>
      <c r="AG596" s="99"/>
      <c r="AH596" s="99"/>
      <c r="AI596" s="99"/>
      <c r="AJ596" s="99"/>
      <c r="AK596" s="99"/>
      <c r="AL596" s="99"/>
      <c r="AM596" s="99"/>
      <c r="AN596" s="99"/>
      <c r="AO596" s="99"/>
      <c r="AP596" s="99"/>
      <c r="AQ596" s="99"/>
    </row>
    <row r="597" spans="1:43" ht="15.75" customHeight="1">
      <c r="A597" s="99"/>
      <c r="B597" s="99"/>
      <c r="C597" s="261"/>
      <c r="D597" s="232"/>
      <c r="E597" s="221"/>
      <c r="F597" s="99"/>
      <c r="G597" s="99"/>
      <c r="H597" s="222"/>
      <c r="I597" s="99"/>
      <c r="J597" s="35"/>
      <c r="K597" s="35"/>
      <c r="L597" s="35"/>
      <c r="M597" s="99"/>
      <c r="N597" s="99"/>
      <c r="O597" s="99"/>
      <c r="P597" s="223"/>
      <c r="Q597" s="224"/>
      <c r="R597" s="99"/>
      <c r="S597" s="99"/>
      <c r="T597" s="157"/>
      <c r="U597" s="158"/>
      <c r="V597" s="158"/>
      <c r="W597" s="110"/>
      <c r="X597" s="110"/>
      <c r="Y597" s="197"/>
      <c r="Z597" s="197"/>
      <c r="AA597" s="197"/>
      <c r="AB597" s="225"/>
      <c r="AC597" s="99"/>
      <c r="AD597" s="226"/>
      <c r="AE597" s="99"/>
      <c r="AF597" s="99"/>
      <c r="AG597" s="99"/>
      <c r="AH597" s="99"/>
      <c r="AI597" s="99"/>
      <c r="AJ597" s="99"/>
      <c r="AK597" s="99"/>
      <c r="AL597" s="99"/>
      <c r="AM597" s="99"/>
      <c r="AN597" s="99"/>
      <c r="AO597" s="99"/>
      <c r="AP597" s="99"/>
      <c r="AQ597" s="99"/>
    </row>
    <row r="598" spans="1:43" ht="15.75" customHeight="1">
      <c r="A598" s="99"/>
      <c r="B598" s="99"/>
      <c r="C598" s="261"/>
      <c r="D598" s="232"/>
      <c r="E598" s="221"/>
      <c r="F598" s="99"/>
      <c r="G598" s="99"/>
      <c r="H598" s="222"/>
      <c r="I598" s="99"/>
      <c r="J598" s="35"/>
      <c r="K598" s="35"/>
      <c r="L598" s="35"/>
      <c r="M598" s="99"/>
      <c r="N598" s="99"/>
      <c r="O598" s="99"/>
      <c r="P598" s="223"/>
      <c r="Q598" s="224"/>
      <c r="R598" s="99"/>
      <c r="S598" s="99"/>
      <c r="T598" s="157"/>
      <c r="U598" s="158"/>
      <c r="V598" s="158"/>
      <c r="W598" s="110"/>
      <c r="X598" s="110"/>
      <c r="Y598" s="197"/>
      <c r="Z598" s="197"/>
      <c r="AA598" s="197"/>
      <c r="AB598" s="225"/>
      <c r="AC598" s="99"/>
      <c r="AD598" s="226"/>
      <c r="AE598" s="99"/>
      <c r="AF598" s="99"/>
      <c r="AG598" s="99"/>
      <c r="AH598" s="99"/>
      <c r="AI598" s="99"/>
      <c r="AJ598" s="99"/>
      <c r="AK598" s="99"/>
      <c r="AL598" s="99"/>
      <c r="AM598" s="99"/>
      <c r="AN598" s="99"/>
      <c r="AO598" s="99"/>
      <c r="AP598" s="99"/>
      <c r="AQ598" s="99"/>
    </row>
    <row r="599" spans="1:43" ht="15.75" customHeight="1">
      <c r="A599" s="99"/>
      <c r="B599" s="99"/>
      <c r="C599" s="261"/>
      <c r="D599" s="232"/>
      <c r="E599" s="221"/>
      <c r="F599" s="99"/>
      <c r="G599" s="99"/>
      <c r="H599" s="222"/>
      <c r="I599" s="99"/>
      <c r="J599" s="35"/>
      <c r="K599" s="35"/>
      <c r="L599" s="35"/>
      <c r="M599" s="99"/>
      <c r="N599" s="99"/>
      <c r="O599" s="99"/>
      <c r="P599" s="223"/>
      <c r="Q599" s="224"/>
      <c r="R599" s="99"/>
      <c r="S599" s="99"/>
      <c r="T599" s="157"/>
      <c r="U599" s="158"/>
      <c r="V599" s="158"/>
      <c r="W599" s="110"/>
      <c r="X599" s="110"/>
      <c r="Y599" s="197"/>
      <c r="Z599" s="197"/>
      <c r="AA599" s="197"/>
      <c r="AB599" s="225"/>
      <c r="AC599" s="99"/>
      <c r="AD599" s="226"/>
      <c r="AE599" s="99"/>
      <c r="AF599" s="99"/>
      <c r="AG599" s="99"/>
      <c r="AH599" s="99"/>
      <c r="AI599" s="99"/>
      <c r="AJ599" s="99"/>
      <c r="AK599" s="99"/>
      <c r="AL599" s="99"/>
      <c r="AM599" s="99"/>
      <c r="AN599" s="99"/>
      <c r="AO599" s="99"/>
      <c r="AP599" s="99"/>
      <c r="AQ599" s="99"/>
    </row>
    <row r="600" spans="1:43" ht="15.75" customHeight="1">
      <c r="A600" s="99"/>
      <c r="B600" s="99"/>
      <c r="C600" s="261"/>
      <c r="D600" s="232"/>
      <c r="E600" s="221"/>
      <c r="F600" s="99"/>
      <c r="G600" s="99"/>
      <c r="H600" s="222"/>
      <c r="I600" s="99"/>
      <c r="J600" s="35"/>
      <c r="K600" s="35"/>
      <c r="L600" s="35"/>
      <c r="M600" s="99"/>
      <c r="N600" s="99"/>
      <c r="O600" s="99"/>
      <c r="P600" s="223"/>
      <c r="Q600" s="224"/>
      <c r="R600" s="99"/>
      <c r="S600" s="99"/>
      <c r="T600" s="157"/>
      <c r="U600" s="158"/>
      <c r="V600" s="158"/>
      <c r="W600" s="110"/>
      <c r="X600" s="110"/>
      <c r="Y600" s="197"/>
      <c r="Z600" s="197"/>
      <c r="AA600" s="197"/>
      <c r="AB600" s="225"/>
      <c r="AC600" s="99"/>
      <c r="AD600" s="226"/>
      <c r="AE600" s="99"/>
      <c r="AF600" s="99"/>
      <c r="AG600" s="99"/>
      <c r="AH600" s="99"/>
      <c r="AI600" s="99"/>
      <c r="AJ600" s="99"/>
      <c r="AK600" s="99"/>
      <c r="AL600" s="99"/>
      <c r="AM600" s="99"/>
      <c r="AN600" s="99"/>
      <c r="AO600" s="99"/>
      <c r="AP600" s="99"/>
      <c r="AQ600" s="99"/>
    </row>
    <row r="601" spans="1:43" ht="15.75" customHeight="1">
      <c r="A601" s="99"/>
      <c r="B601" s="99"/>
      <c r="C601" s="261"/>
      <c r="D601" s="232"/>
      <c r="E601" s="221"/>
      <c r="F601" s="99"/>
      <c r="G601" s="99"/>
      <c r="H601" s="222"/>
      <c r="I601" s="99"/>
      <c r="J601" s="35"/>
      <c r="K601" s="35"/>
      <c r="L601" s="35"/>
      <c r="M601" s="99"/>
      <c r="N601" s="99"/>
      <c r="O601" s="99"/>
      <c r="P601" s="223"/>
      <c r="Q601" s="224"/>
      <c r="R601" s="99"/>
      <c r="S601" s="99"/>
      <c r="T601" s="157"/>
      <c r="U601" s="158"/>
      <c r="V601" s="158"/>
      <c r="W601" s="110"/>
      <c r="X601" s="110"/>
      <c r="Y601" s="197"/>
      <c r="Z601" s="197"/>
      <c r="AA601" s="197"/>
      <c r="AB601" s="225"/>
      <c r="AC601" s="99"/>
      <c r="AD601" s="226"/>
      <c r="AE601" s="99"/>
      <c r="AF601" s="99"/>
      <c r="AG601" s="99"/>
      <c r="AH601" s="99"/>
      <c r="AI601" s="99"/>
      <c r="AJ601" s="99"/>
      <c r="AK601" s="99"/>
      <c r="AL601" s="99"/>
      <c r="AM601" s="99"/>
      <c r="AN601" s="99"/>
      <c r="AO601" s="99"/>
      <c r="AP601" s="99"/>
      <c r="AQ601" s="99"/>
    </row>
    <row r="602" spans="1:43" ht="15.75" customHeight="1">
      <c r="A602" s="99"/>
      <c r="B602" s="99"/>
      <c r="C602" s="261"/>
      <c r="D602" s="232"/>
      <c r="E602" s="221"/>
      <c r="F602" s="99"/>
      <c r="G602" s="99"/>
      <c r="H602" s="222"/>
      <c r="I602" s="99"/>
      <c r="J602" s="35"/>
      <c r="K602" s="35"/>
      <c r="L602" s="35"/>
      <c r="M602" s="99"/>
      <c r="N602" s="99"/>
      <c r="O602" s="99"/>
      <c r="P602" s="223"/>
      <c r="Q602" s="224"/>
      <c r="R602" s="99"/>
      <c r="S602" s="99"/>
      <c r="T602" s="157"/>
      <c r="U602" s="158"/>
      <c r="V602" s="158"/>
      <c r="W602" s="110"/>
      <c r="X602" s="110"/>
      <c r="Y602" s="197"/>
      <c r="Z602" s="197"/>
      <c r="AA602" s="197"/>
      <c r="AB602" s="225"/>
      <c r="AC602" s="99"/>
      <c r="AD602" s="226"/>
      <c r="AE602" s="99"/>
      <c r="AF602" s="99"/>
      <c r="AG602" s="99"/>
      <c r="AH602" s="99"/>
      <c r="AI602" s="99"/>
      <c r="AJ602" s="99"/>
      <c r="AK602" s="99"/>
      <c r="AL602" s="99"/>
      <c r="AM602" s="99"/>
      <c r="AN602" s="99"/>
      <c r="AO602" s="99"/>
      <c r="AP602" s="99"/>
      <c r="AQ602" s="99"/>
    </row>
    <row r="603" spans="1:43" ht="15.75" customHeight="1">
      <c r="A603" s="99"/>
      <c r="B603" s="99"/>
      <c r="C603" s="261"/>
      <c r="D603" s="232"/>
      <c r="E603" s="221"/>
      <c r="F603" s="99"/>
      <c r="G603" s="99"/>
      <c r="H603" s="222"/>
      <c r="I603" s="99"/>
      <c r="J603" s="35"/>
      <c r="K603" s="35"/>
      <c r="L603" s="35"/>
      <c r="M603" s="99"/>
      <c r="N603" s="99"/>
      <c r="O603" s="99"/>
      <c r="P603" s="223"/>
      <c r="Q603" s="224"/>
      <c r="R603" s="99"/>
      <c r="S603" s="99"/>
      <c r="T603" s="157"/>
      <c r="U603" s="158"/>
      <c r="V603" s="158"/>
      <c r="W603" s="110"/>
      <c r="X603" s="110"/>
      <c r="Y603" s="197"/>
      <c r="Z603" s="197"/>
      <c r="AA603" s="197"/>
      <c r="AB603" s="225"/>
      <c r="AC603" s="99"/>
      <c r="AD603" s="226"/>
      <c r="AE603" s="99"/>
      <c r="AF603" s="99"/>
      <c r="AG603" s="99"/>
      <c r="AH603" s="99"/>
      <c r="AI603" s="99"/>
      <c r="AJ603" s="99"/>
      <c r="AK603" s="99"/>
      <c r="AL603" s="99"/>
      <c r="AM603" s="99"/>
      <c r="AN603" s="99"/>
      <c r="AO603" s="99"/>
      <c r="AP603" s="99"/>
      <c r="AQ603" s="99"/>
    </row>
    <row r="604" spans="1:43" ht="15.75" customHeight="1">
      <c r="A604" s="99"/>
      <c r="B604" s="99"/>
      <c r="C604" s="261"/>
      <c r="D604" s="232"/>
      <c r="E604" s="221"/>
      <c r="F604" s="99"/>
      <c r="G604" s="99"/>
      <c r="H604" s="222"/>
      <c r="I604" s="99"/>
      <c r="J604" s="35"/>
      <c r="K604" s="35"/>
      <c r="L604" s="35"/>
      <c r="M604" s="99"/>
      <c r="N604" s="99"/>
      <c r="O604" s="99"/>
      <c r="P604" s="223"/>
      <c r="Q604" s="224"/>
      <c r="R604" s="99"/>
      <c r="S604" s="99"/>
      <c r="T604" s="157"/>
      <c r="U604" s="158"/>
      <c r="V604" s="158"/>
      <c r="W604" s="110"/>
      <c r="X604" s="110"/>
      <c r="Y604" s="197"/>
      <c r="Z604" s="197"/>
      <c r="AA604" s="197"/>
      <c r="AB604" s="225"/>
      <c r="AC604" s="99"/>
      <c r="AD604" s="226"/>
      <c r="AE604" s="99"/>
      <c r="AF604" s="99"/>
      <c r="AG604" s="99"/>
      <c r="AH604" s="99"/>
      <c r="AI604" s="99"/>
      <c r="AJ604" s="99"/>
      <c r="AK604" s="99"/>
      <c r="AL604" s="99"/>
      <c r="AM604" s="99"/>
      <c r="AN604" s="99"/>
      <c r="AO604" s="99"/>
      <c r="AP604" s="99"/>
      <c r="AQ604" s="99"/>
    </row>
    <row r="605" spans="1:43" ht="15.75" customHeight="1">
      <c r="A605" s="99"/>
      <c r="B605" s="99"/>
      <c r="C605" s="261"/>
      <c r="D605" s="232"/>
      <c r="E605" s="221"/>
      <c r="F605" s="99"/>
      <c r="G605" s="99"/>
      <c r="H605" s="222"/>
      <c r="I605" s="99"/>
      <c r="J605" s="35"/>
      <c r="K605" s="35"/>
      <c r="L605" s="35"/>
      <c r="M605" s="99"/>
      <c r="N605" s="99"/>
      <c r="O605" s="99"/>
      <c r="P605" s="223"/>
      <c r="Q605" s="224"/>
      <c r="R605" s="99"/>
      <c r="S605" s="99"/>
      <c r="T605" s="157"/>
      <c r="U605" s="158"/>
      <c r="V605" s="158"/>
      <c r="W605" s="110"/>
      <c r="X605" s="110"/>
      <c r="Y605" s="197"/>
      <c r="Z605" s="197"/>
      <c r="AA605" s="197"/>
      <c r="AB605" s="225"/>
      <c r="AC605" s="99"/>
      <c r="AD605" s="226"/>
      <c r="AE605" s="99"/>
      <c r="AF605" s="99"/>
      <c r="AG605" s="99"/>
      <c r="AH605" s="99"/>
      <c r="AI605" s="99"/>
      <c r="AJ605" s="99"/>
      <c r="AK605" s="99"/>
      <c r="AL605" s="99"/>
      <c r="AM605" s="99"/>
      <c r="AN605" s="99"/>
      <c r="AO605" s="99"/>
      <c r="AP605" s="99"/>
      <c r="AQ605" s="99"/>
    </row>
    <row r="606" spans="1:43" ht="15.75" customHeight="1">
      <c r="A606" s="99"/>
      <c r="B606" s="99"/>
      <c r="C606" s="261"/>
      <c r="D606" s="232"/>
      <c r="E606" s="221"/>
      <c r="F606" s="99"/>
      <c r="G606" s="99"/>
      <c r="H606" s="222"/>
      <c r="I606" s="99"/>
      <c r="J606" s="35"/>
      <c r="K606" s="35"/>
      <c r="L606" s="35"/>
      <c r="M606" s="99"/>
      <c r="N606" s="99"/>
      <c r="O606" s="99"/>
      <c r="P606" s="223"/>
      <c r="Q606" s="224"/>
      <c r="R606" s="99"/>
      <c r="S606" s="99"/>
      <c r="T606" s="157"/>
      <c r="U606" s="158"/>
      <c r="V606" s="158"/>
      <c r="W606" s="110"/>
      <c r="X606" s="110"/>
      <c r="Y606" s="197"/>
      <c r="Z606" s="197"/>
      <c r="AA606" s="197"/>
      <c r="AB606" s="225"/>
      <c r="AC606" s="99"/>
      <c r="AD606" s="226"/>
      <c r="AE606" s="99"/>
      <c r="AF606" s="99"/>
      <c r="AG606" s="99"/>
      <c r="AH606" s="99"/>
      <c r="AI606" s="99"/>
      <c r="AJ606" s="99"/>
      <c r="AK606" s="99"/>
      <c r="AL606" s="99"/>
      <c r="AM606" s="99"/>
      <c r="AN606" s="99"/>
      <c r="AO606" s="99"/>
      <c r="AP606" s="99"/>
      <c r="AQ606" s="99"/>
    </row>
    <row r="607" spans="1:43" ht="15.75" customHeight="1">
      <c r="A607" s="99"/>
      <c r="B607" s="99"/>
      <c r="C607" s="261"/>
      <c r="D607" s="232"/>
      <c r="E607" s="221"/>
      <c r="F607" s="99"/>
      <c r="G607" s="99"/>
      <c r="H607" s="222"/>
      <c r="I607" s="99"/>
      <c r="J607" s="35"/>
      <c r="K607" s="35"/>
      <c r="L607" s="35"/>
      <c r="M607" s="99"/>
      <c r="N607" s="99"/>
      <c r="O607" s="99"/>
      <c r="P607" s="223"/>
      <c r="Q607" s="224"/>
      <c r="R607" s="99"/>
      <c r="S607" s="99"/>
      <c r="T607" s="157"/>
      <c r="U607" s="158"/>
      <c r="V607" s="158"/>
      <c r="W607" s="110"/>
      <c r="X607" s="110"/>
      <c r="Y607" s="197"/>
      <c r="Z607" s="197"/>
      <c r="AA607" s="197"/>
      <c r="AB607" s="225"/>
      <c r="AC607" s="99"/>
      <c r="AD607" s="226"/>
      <c r="AE607" s="99"/>
      <c r="AF607" s="99"/>
      <c r="AG607" s="99"/>
      <c r="AH607" s="99"/>
      <c r="AI607" s="99"/>
      <c r="AJ607" s="99"/>
      <c r="AK607" s="99"/>
      <c r="AL607" s="99"/>
      <c r="AM607" s="99"/>
      <c r="AN607" s="99"/>
      <c r="AO607" s="99"/>
      <c r="AP607" s="99"/>
      <c r="AQ607" s="99"/>
    </row>
    <row r="608" spans="1:43" ht="15.75" customHeight="1">
      <c r="A608" s="99"/>
      <c r="B608" s="99"/>
      <c r="C608" s="261"/>
      <c r="D608" s="232"/>
      <c r="E608" s="221"/>
      <c r="F608" s="99"/>
      <c r="G608" s="99"/>
      <c r="H608" s="222"/>
      <c r="I608" s="99"/>
      <c r="J608" s="35"/>
      <c r="K608" s="35"/>
      <c r="L608" s="35"/>
      <c r="M608" s="99"/>
      <c r="N608" s="99"/>
      <c r="O608" s="99"/>
      <c r="P608" s="223"/>
      <c r="Q608" s="224"/>
      <c r="R608" s="99"/>
      <c r="S608" s="99"/>
      <c r="T608" s="157"/>
      <c r="U608" s="158"/>
      <c r="V608" s="158"/>
      <c r="W608" s="110"/>
      <c r="X608" s="110"/>
      <c r="Y608" s="197"/>
      <c r="Z608" s="197"/>
      <c r="AA608" s="197"/>
      <c r="AB608" s="225"/>
      <c r="AC608" s="99"/>
      <c r="AD608" s="226"/>
      <c r="AE608" s="99"/>
      <c r="AF608" s="99"/>
      <c r="AG608" s="99"/>
      <c r="AH608" s="99"/>
      <c r="AI608" s="99"/>
      <c r="AJ608" s="99"/>
      <c r="AK608" s="99"/>
      <c r="AL608" s="99"/>
      <c r="AM608" s="99"/>
      <c r="AN608" s="99"/>
      <c r="AO608" s="99"/>
      <c r="AP608" s="99"/>
      <c r="AQ608" s="99"/>
    </row>
    <row r="609" spans="1:43" ht="15.75" customHeight="1">
      <c r="A609" s="99"/>
      <c r="B609" s="99"/>
      <c r="C609" s="261"/>
      <c r="D609" s="232"/>
      <c r="E609" s="221"/>
      <c r="F609" s="99"/>
      <c r="G609" s="99"/>
      <c r="H609" s="222"/>
      <c r="I609" s="99"/>
      <c r="J609" s="35"/>
      <c r="K609" s="35"/>
      <c r="L609" s="35"/>
      <c r="M609" s="99"/>
      <c r="N609" s="99"/>
      <c r="O609" s="99"/>
      <c r="P609" s="223"/>
      <c r="Q609" s="224"/>
      <c r="R609" s="99"/>
      <c r="S609" s="99"/>
      <c r="T609" s="157"/>
      <c r="U609" s="158"/>
      <c r="V609" s="158"/>
      <c r="W609" s="110"/>
      <c r="X609" s="110"/>
      <c r="Y609" s="197"/>
      <c r="Z609" s="197"/>
      <c r="AA609" s="197"/>
      <c r="AB609" s="225"/>
      <c r="AC609" s="99"/>
      <c r="AD609" s="226"/>
      <c r="AE609" s="99"/>
      <c r="AF609" s="99"/>
      <c r="AG609" s="99"/>
      <c r="AH609" s="99"/>
      <c r="AI609" s="99"/>
      <c r="AJ609" s="99"/>
      <c r="AK609" s="99"/>
      <c r="AL609" s="99"/>
      <c r="AM609" s="99"/>
      <c r="AN609" s="99"/>
      <c r="AO609" s="99"/>
      <c r="AP609" s="99"/>
      <c r="AQ609" s="99"/>
    </row>
    <row r="610" spans="1:43" ht="15.75" customHeight="1">
      <c r="A610" s="99"/>
      <c r="B610" s="99"/>
      <c r="C610" s="261"/>
      <c r="D610" s="232"/>
      <c r="E610" s="221"/>
      <c r="F610" s="99"/>
      <c r="G610" s="99"/>
      <c r="H610" s="222"/>
      <c r="I610" s="99"/>
      <c r="J610" s="35"/>
      <c r="K610" s="35"/>
      <c r="L610" s="35"/>
      <c r="M610" s="99"/>
      <c r="N610" s="99"/>
      <c r="O610" s="99"/>
      <c r="P610" s="223"/>
      <c r="Q610" s="224"/>
      <c r="R610" s="99"/>
      <c r="S610" s="99"/>
      <c r="T610" s="157"/>
      <c r="U610" s="158"/>
      <c r="V610" s="158"/>
      <c r="W610" s="110"/>
      <c r="X610" s="110"/>
      <c r="Y610" s="197"/>
      <c r="Z610" s="197"/>
      <c r="AA610" s="197"/>
      <c r="AB610" s="225"/>
      <c r="AC610" s="99"/>
      <c r="AD610" s="226"/>
      <c r="AE610" s="99"/>
      <c r="AF610" s="99"/>
      <c r="AG610" s="99"/>
      <c r="AH610" s="99"/>
      <c r="AI610" s="99"/>
      <c r="AJ610" s="99"/>
      <c r="AK610" s="99"/>
      <c r="AL610" s="99"/>
      <c r="AM610" s="99"/>
      <c r="AN610" s="99"/>
      <c r="AO610" s="99"/>
      <c r="AP610" s="99"/>
      <c r="AQ610" s="99"/>
    </row>
    <row r="611" spans="1:43" ht="15.75" customHeight="1">
      <c r="A611" s="99"/>
      <c r="B611" s="99"/>
      <c r="C611" s="261"/>
      <c r="D611" s="232"/>
      <c r="E611" s="221"/>
      <c r="F611" s="99"/>
      <c r="G611" s="99"/>
      <c r="H611" s="222"/>
      <c r="I611" s="99"/>
      <c r="J611" s="35"/>
      <c r="K611" s="35"/>
      <c r="L611" s="35"/>
      <c r="M611" s="99"/>
      <c r="N611" s="99"/>
      <c r="O611" s="99"/>
      <c r="P611" s="223"/>
      <c r="Q611" s="224"/>
      <c r="R611" s="99"/>
      <c r="S611" s="99"/>
      <c r="T611" s="157"/>
      <c r="U611" s="158"/>
      <c r="V611" s="158"/>
      <c r="W611" s="110"/>
      <c r="X611" s="110"/>
      <c r="Y611" s="197"/>
      <c r="Z611" s="197"/>
      <c r="AA611" s="197"/>
      <c r="AB611" s="225"/>
      <c r="AC611" s="99"/>
      <c r="AD611" s="226"/>
      <c r="AE611" s="99"/>
      <c r="AF611" s="99"/>
      <c r="AG611" s="99"/>
      <c r="AH611" s="99"/>
      <c r="AI611" s="99"/>
      <c r="AJ611" s="99"/>
      <c r="AK611" s="99"/>
      <c r="AL611" s="99"/>
      <c r="AM611" s="99"/>
      <c r="AN611" s="99"/>
      <c r="AO611" s="99"/>
      <c r="AP611" s="99"/>
      <c r="AQ611" s="99"/>
    </row>
    <row r="612" spans="1:43" ht="15.75" customHeight="1">
      <c r="A612" s="99"/>
      <c r="B612" s="99"/>
      <c r="C612" s="261"/>
      <c r="D612" s="232"/>
      <c r="E612" s="221"/>
      <c r="F612" s="99"/>
      <c r="G612" s="99"/>
      <c r="H612" s="222"/>
      <c r="I612" s="99"/>
      <c r="J612" s="35"/>
      <c r="K612" s="35"/>
      <c r="L612" s="35"/>
      <c r="M612" s="99"/>
      <c r="N612" s="99"/>
      <c r="O612" s="99"/>
      <c r="P612" s="223"/>
      <c r="Q612" s="224"/>
      <c r="R612" s="99"/>
      <c r="S612" s="99"/>
      <c r="T612" s="157"/>
      <c r="U612" s="158"/>
      <c r="V612" s="158"/>
      <c r="W612" s="110"/>
      <c r="X612" s="110"/>
      <c r="Y612" s="197"/>
      <c r="Z612" s="197"/>
      <c r="AA612" s="197"/>
      <c r="AB612" s="225"/>
      <c r="AC612" s="99"/>
      <c r="AD612" s="226"/>
      <c r="AE612" s="99"/>
      <c r="AF612" s="99"/>
      <c r="AG612" s="99"/>
      <c r="AH612" s="99"/>
      <c r="AI612" s="99"/>
      <c r="AJ612" s="99"/>
      <c r="AK612" s="99"/>
      <c r="AL612" s="99"/>
      <c r="AM612" s="99"/>
      <c r="AN612" s="99"/>
      <c r="AO612" s="99"/>
      <c r="AP612" s="99"/>
      <c r="AQ612" s="99"/>
    </row>
    <row r="613" spans="1:43" ht="15.75" customHeight="1">
      <c r="A613" s="99"/>
      <c r="B613" s="99"/>
      <c r="C613" s="261"/>
      <c r="D613" s="232"/>
      <c r="E613" s="221"/>
      <c r="F613" s="99"/>
      <c r="G613" s="99"/>
      <c r="H613" s="222"/>
      <c r="I613" s="99"/>
      <c r="J613" s="35"/>
      <c r="K613" s="35"/>
      <c r="L613" s="35"/>
      <c r="M613" s="99"/>
      <c r="N613" s="99"/>
      <c r="O613" s="99"/>
      <c r="P613" s="223"/>
      <c r="Q613" s="224"/>
      <c r="R613" s="99"/>
      <c r="S613" s="99"/>
      <c r="T613" s="157"/>
      <c r="U613" s="158"/>
      <c r="V613" s="158"/>
      <c r="W613" s="110"/>
      <c r="X613" s="110"/>
      <c r="Y613" s="197"/>
      <c r="Z613" s="197"/>
      <c r="AA613" s="197"/>
      <c r="AB613" s="225"/>
      <c r="AC613" s="99"/>
      <c r="AD613" s="226"/>
      <c r="AE613" s="99"/>
      <c r="AF613" s="99"/>
      <c r="AG613" s="99"/>
      <c r="AH613" s="99"/>
      <c r="AI613" s="99"/>
      <c r="AJ613" s="99"/>
      <c r="AK613" s="99"/>
      <c r="AL613" s="99"/>
      <c r="AM613" s="99"/>
      <c r="AN613" s="99"/>
      <c r="AO613" s="99"/>
      <c r="AP613" s="99"/>
      <c r="AQ613" s="99"/>
    </row>
    <row r="614" spans="1:43" ht="15.75" customHeight="1">
      <c r="A614" s="99"/>
      <c r="B614" s="99"/>
      <c r="C614" s="261"/>
      <c r="D614" s="232"/>
      <c r="E614" s="221"/>
      <c r="F614" s="99"/>
      <c r="G614" s="99"/>
      <c r="H614" s="222"/>
      <c r="I614" s="99"/>
      <c r="J614" s="35"/>
      <c r="K614" s="35"/>
      <c r="L614" s="35"/>
      <c r="M614" s="99"/>
      <c r="N614" s="99"/>
      <c r="O614" s="99"/>
      <c r="P614" s="223"/>
      <c r="Q614" s="224"/>
      <c r="R614" s="99"/>
      <c r="S614" s="99"/>
      <c r="T614" s="157"/>
      <c r="U614" s="158"/>
      <c r="V614" s="158"/>
      <c r="W614" s="110"/>
      <c r="X614" s="110"/>
      <c r="Y614" s="197"/>
      <c r="Z614" s="197"/>
      <c r="AA614" s="197"/>
      <c r="AB614" s="225"/>
      <c r="AC614" s="99"/>
      <c r="AD614" s="226"/>
      <c r="AE614" s="99"/>
      <c r="AF614" s="99"/>
      <c r="AG614" s="99"/>
      <c r="AH614" s="99"/>
      <c r="AI614" s="99"/>
      <c r="AJ614" s="99"/>
      <c r="AK614" s="99"/>
      <c r="AL614" s="99"/>
      <c r="AM614" s="99"/>
      <c r="AN614" s="99"/>
      <c r="AO614" s="99"/>
      <c r="AP614" s="99"/>
      <c r="AQ614" s="99"/>
    </row>
    <row r="615" spans="1:43" ht="15.75" customHeight="1">
      <c r="A615" s="99"/>
      <c r="B615" s="99"/>
      <c r="C615" s="261"/>
      <c r="D615" s="232"/>
      <c r="E615" s="221"/>
      <c r="F615" s="99"/>
      <c r="G615" s="99"/>
      <c r="H615" s="222"/>
      <c r="I615" s="99"/>
      <c r="J615" s="35"/>
      <c r="K615" s="35"/>
      <c r="L615" s="35"/>
      <c r="M615" s="99"/>
      <c r="N615" s="99"/>
      <c r="O615" s="99"/>
      <c r="P615" s="223"/>
      <c r="Q615" s="224"/>
      <c r="R615" s="99"/>
      <c r="S615" s="99"/>
      <c r="T615" s="157"/>
      <c r="U615" s="158"/>
      <c r="V615" s="158"/>
      <c r="W615" s="110"/>
      <c r="X615" s="110"/>
      <c r="Y615" s="197"/>
      <c r="Z615" s="197"/>
      <c r="AA615" s="197"/>
      <c r="AB615" s="225"/>
      <c r="AC615" s="99"/>
      <c r="AD615" s="226"/>
      <c r="AE615" s="99"/>
      <c r="AF615" s="99"/>
      <c r="AG615" s="99"/>
      <c r="AH615" s="99"/>
      <c r="AI615" s="99"/>
      <c r="AJ615" s="99"/>
      <c r="AK615" s="99"/>
      <c r="AL615" s="99"/>
      <c r="AM615" s="99"/>
      <c r="AN615" s="99"/>
      <c r="AO615" s="99"/>
      <c r="AP615" s="99"/>
      <c r="AQ615" s="99"/>
    </row>
    <row r="616" spans="1:43" ht="15.75" customHeight="1">
      <c r="A616" s="99"/>
      <c r="B616" s="99"/>
      <c r="C616" s="261"/>
      <c r="D616" s="232"/>
      <c r="E616" s="221"/>
      <c r="F616" s="99"/>
      <c r="G616" s="99"/>
      <c r="H616" s="222"/>
      <c r="I616" s="99"/>
      <c r="J616" s="35"/>
      <c r="K616" s="35"/>
      <c r="L616" s="35"/>
      <c r="M616" s="99"/>
      <c r="N616" s="99"/>
      <c r="O616" s="99"/>
      <c r="P616" s="223"/>
      <c r="Q616" s="224"/>
      <c r="R616" s="99"/>
      <c r="S616" s="99"/>
      <c r="T616" s="157"/>
      <c r="U616" s="158"/>
      <c r="V616" s="158"/>
      <c r="W616" s="110"/>
      <c r="X616" s="110"/>
      <c r="Y616" s="197"/>
      <c r="Z616" s="197"/>
      <c r="AA616" s="197"/>
      <c r="AB616" s="225"/>
      <c r="AC616" s="99"/>
      <c r="AD616" s="226"/>
      <c r="AE616" s="99"/>
      <c r="AF616" s="99"/>
      <c r="AG616" s="99"/>
      <c r="AH616" s="99"/>
      <c r="AI616" s="99"/>
      <c r="AJ616" s="99"/>
      <c r="AK616" s="99"/>
      <c r="AL616" s="99"/>
      <c r="AM616" s="99"/>
      <c r="AN616" s="99"/>
      <c r="AO616" s="99"/>
      <c r="AP616" s="99"/>
      <c r="AQ616" s="99"/>
    </row>
    <row r="617" spans="1:43" ht="15.75" customHeight="1">
      <c r="A617" s="99"/>
      <c r="B617" s="99"/>
      <c r="C617" s="261"/>
      <c r="D617" s="232"/>
      <c r="E617" s="221"/>
      <c r="F617" s="99"/>
      <c r="G617" s="99"/>
      <c r="H617" s="222"/>
      <c r="I617" s="99"/>
      <c r="J617" s="35"/>
      <c r="K617" s="35"/>
      <c r="L617" s="35"/>
      <c r="M617" s="99"/>
      <c r="N617" s="99"/>
      <c r="O617" s="99"/>
      <c r="P617" s="223"/>
      <c r="Q617" s="224"/>
      <c r="R617" s="99"/>
      <c r="S617" s="99"/>
      <c r="T617" s="157"/>
      <c r="U617" s="158"/>
      <c r="V617" s="158"/>
      <c r="W617" s="110"/>
      <c r="X617" s="110"/>
      <c r="Y617" s="197"/>
      <c r="Z617" s="197"/>
      <c r="AA617" s="197"/>
      <c r="AB617" s="225"/>
      <c r="AC617" s="99"/>
      <c r="AD617" s="226"/>
      <c r="AE617" s="99"/>
      <c r="AF617" s="99"/>
      <c r="AG617" s="99"/>
      <c r="AH617" s="99"/>
      <c r="AI617" s="99"/>
      <c r="AJ617" s="99"/>
      <c r="AK617" s="99"/>
      <c r="AL617" s="99"/>
      <c r="AM617" s="99"/>
      <c r="AN617" s="99"/>
      <c r="AO617" s="99"/>
      <c r="AP617" s="99"/>
      <c r="AQ617" s="99"/>
    </row>
    <row r="618" spans="1:43" ht="15.75" customHeight="1">
      <c r="A618" s="99"/>
      <c r="B618" s="99"/>
      <c r="C618" s="261"/>
      <c r="D618" s="232"/>
      <c r="E618" s="221"/>
      <c r="F618" s="99"/>
      <c r="G618" s="99"/>
      <c r="H618" s="222"/>
      <c r="I618" s="99"/>
      <c r="J618" s="35"/>
      <c r="K618" s="35"/>
      <c r="L618" s="35"/>
      <c r="M618" s="99"/>
      <c r="N618" s="99"/>
      <c r="O618" s="99"/>
      <c r="P618" s="223"/>
      <c r="Q618" s="224"/>
      <c r="R618" s="99"/>
      <c r="S618" s="99"/>
      <c r="T618" s="157"/>
      <c r="U618" s="158"/>
      <c r="V618" s="158"/>
      <c r="W618" s="110"/>
      <c r="X618" s="110"/>
      <c r="Y618" s="197"/>
      <c r="Z618" s="197"/>
      <c r="AA618" s="197"/>
      <c r="AB618" s="225"/>
      <c r="AC618" s="99"/>
      <c r="AD618" s="226"/>
      <c r="AE618" s="99"/>
      <c r="AF618" s="99"/>
      <c r="AG618" s="99"/>
      <c r="AH618" s="99"/>
      <c r="AI618" s="99"/>
      <c r="AJ618" s="99"/>
      <c r="AK618" s="99"/>
      <c r="AL618" s="99"/>
      <c r="AM618" s="99"/>
      <c r="AN618" s="99"/>
      <c r="AO618" s="99"/>
      <c r="AP618" s="99"/>
      <c r="AQ618" s="99"/>
    </row>
    <row r="619" spans="1:43" ht="15.75" customHeight="1">
      <c r="A619" s="99"/>
      <c r="B619" s="99"/>
      <c r="C619" s="261"/>
      <c r="D619" s="232"/>
      <c r="E619" s="221"/>
      <c r="F619" s="99"/>
      <c r="G619" s="99"/>
      <c r="H619" s="222"/>
      <c r="I619" s="99"/>
      <c r="J619" s="35"/>
      <c r="K619" s="35"/>
      <c r="L619" s="35"/>
      <c r="M619" s="99"/>
      <c r="N619" s="99"/>
      <c r="O619" s="99"/>
      <c r="P619" s="223"/>
      <c r="Q619" s="224"/>
      <c r="R619" s="99"/>
      <c r="S619" s="99"/>
      <c r="T619" s="157"/>
      <c r="U619" s="158"/>
      <c r="V619" s="158"/>
      <c r="W619" s="110"/>
      <c r="X619" s="110"/>
      <c r="Y619" s="197"/>
      <c r="Z619" s="197"/>
      <c r="AA619" s="197"/>
      <c r="AB619" s="225"/>
      <c r="AC619" s="99"/>
      <c r="AD619" s="226"/>
      <c r="AE619" s="99"/>
      <c r="AF619" s="99"/>
      <c r="AG619" s="99"/>
      <c r="AH619" s="99"/>
      <c r="AI619" s="99"/>
      <c r="AJ619" s="99"/>
      <c r="AK619" s="99"/>
      <c r="AL619" s="99"/>
      <c r="AM619" s="99"/>
      <c r="AN619" s="99"/>
      <c r="AO619" s="99"/>
      <c r="AP619" s="99"/>
      <c r="AQ619" s="99"/>
    </row>
    <row r="620" spans="1:43" ht="15.75" customHeight="1">
      <c r="A620" s="99"/>
      <c r="B620" s="99"/>
      <c r="C620" s="261"/>
      <c r="D620" s="232"/>
      <c r="E620" s="221"/>
      <c r="F620" s="99"/>
      <c r="G620" s="99"/>
      <c r="H620" s="222"/>
      <c r="I620" s="99"/>
      <c r="J620" s="35"/>
      <c r="K620" s="35"/>
      <c r="L620" s="35"/>
      <c r="M620" s="99"/>
      <c r="N620" s="99"/>
      <c r="O620" s="99"/>
      <c r="P620" s="223"/>
      <c r="Q620" s="224"/>
      <c r="R620" s="99"/>
      <c r="S620" s="99"/>
      <c r="T620" s="157"/>
      <c r="U620" s="158"/>
      <c r="V620" s="158"/>
      <c r="W620" s="110"/>
      <c r="X620" s="110"/>
      <c r="Y620" s="197"/>
      <c r="Z620" s="197"/>
      <c r="AA620" s="197"/>
      <c r="AB620" s="225"/>
      <c r="AC620" s="99"/>
      <c r="AD620" s="226"/>
      <c r="AE620" s="99"/>
      <c r="AF620" s="99"/>
      <c r="AG620" s="99"/>
      <c r="AH620" s="99"/>
      <c r="AI620" s="99"/>
      <c r="AJ620" s="99"/>
      <c r="AK620" s="99"/>
      <c r="AL620" s="99"/>
      <c r="AM620" s="99"/>
      <c r="AN620" s="99"/>
      <c r="AO620" s="99"/>
      <c r="AP620" s="99"/>
      <c r="AQ620" s="99"/>
    </row>
    <row r="621" spans="1:43" ht="15.75" customHeight="1">
      <c r="A621" s="99"/>
      <c r="B621" s="99"/>
      <c r="C621" s="261"/>
      <c r="D621" s="232"/>
      <c r="E621" s="221"/>
      <c r="F621" s="99"/>
      <c r="G621" s="99"/>
      <c r="H621" s="222"/>
      <c r="I621" s="99"/>
      <c r="J621" s="35"/>
      <c r="K621" s="35"/>
      <c r="L621" s="35"/>
      <c r="M621" s="99"/>
      <c r="N621" s="99"/>
      <c r="O621" s="99"/>
      <c r="P621" s="223"/>
      <c r="Q621" s="224"/>
      <c r="R621" s="99"/>
      <c r="S621" s="99"/>
      <c r="T621" s="157"/>
      <c r="U621" s="158"/>
      <c r="V621" s="158"/>
      <c r="W621" s="110"/>
      <c r="X621" s="110"/>
      <c r="Y621" s="197"/>
      <c r="Z621" s="197"/>
      <c r="AA621" s="197"/>
      <c r="AB621" s="225"/>
      <c r="AC621" s="99"/>
      <c r="AD621" s="226"/>
      <c r="AE621" s="99"/>
      <c r="AF621" s="99"/>
      <c r="AG621" s="99"/>
      <c r="AH621" s="99"/>
      <c r="AI621" s="99"/>
      <c r="AJ621" s="99"/>
      <c r="AK621" s="99"/>
      <c r="AL621" s="99"/>
      <c r="AM621" s="99"/>
      <c r="AN621" s="99"/>
      <c r="AO621" s="99"/>
      <c r="AP621" s="99"/>
      <c r="AQ621" s="99"/>
    </row>
    <row r="622" spans="1:43" ht="15.75" customHeight="1">
      <c r="A622" s="99"/>
      <c r="B622" s="99"/>
      <c r="C622" s="261"/>
      <c r="D622" s="232"/>
      <c r="E622" s="221"/>
      <c r="F622" s="99"/>
      <c r="G622" s="99"/>
      <c r="H622" s="222"/>
      <c r="I622" s="99"/>
      <c r="J622" s="35"/>
      <c r="K622" s="35"/>
      <c r="L622" s="35"/>
      <c r="M622" s="99"/>
      <c r="N622" s="99"/>
      <c r="O622" s="99"/>
      <c r="P622" s="223"/>
      <c r="Q622" s="224"/>
      <c r="R622" s="99"/>
      <c r="S622" s="99"/>
      <c r="T622" s="157"/>
      <c r="U622" s="158"/>
      <c r="V622" s="158"/>
      <c r="W622" s="110"/>
      <c r="X622" s="110"/>
      <c r="Y622" s="197"/>
      <c r="Z622" s="197"/>
      <c r="AA622" s="197"/>
      <c r="AB622" s="225"/>
      <c r="AC622" s="99"/>
      <c r="AD622" s="226"/>
      <c r="AE622" s="99"/>
      <c r="AF622" s="99"/>
      <c r="AG622" s="99"/>
      <c r="AH622" s="99"/>
      <c r="AI622" s="99"/>
      <c r="AJ622" s="99"/>
      <c r="AK622" s="99"/>
      <c r="AL622" s="99"/>
      <c r="AM622" s="99"/>
      <c r="AN622" s="99"/>
      <c r="AO622" s="99"/>
      <c r="AP622" s="99"/>
      <c r="AQ622" s="99"/>
    </row>
    <row r="623" spans="1:43" ht="15.75" customHeight="1">
      <c r="A623" s="99"/>
      <c r="B623" s="99"/>
      <c r="C623" s="261"/>
      <c r="D623" s="232"/>
      <c r="E623" s="221"/>
      <c r="F623" s="99"/>
      <c r="G623" s="99"/>
      <c r="H623" s="222"/>
      <c r="I623" s="99"/>
      <c r="J623" s="35"/>
      <c r="K623" s="35"/>
      <c r="L623" s="35"/>
      <c r="M623" s="99"/>
      <c r="N623" s="99"/>
      <c r="O623" s="99"/>
      <c r="P623" s="223"/>
      <c r="Q623" s="224"/>
      <c r="R623" s="99"/>
      <c r="S623" s="99"/>
      <c r="T623" s="157"/>
      <c r="U623" s="158"/>
      <c r="V623" s="158"/>
      <c r="W623" s="110"/>
      <c r="X623" s="110"/>
      <c r="Y623" s="197"/>
      <c r="Z623" s="197"/>
      <c r="AA623" s="197"/>
      <c r="AB623" s="225"/>
      <c r="AC623" s="99"/>
      <c r="AD623" s="226"/>
      <c r="AE623" s="99"/>
      <c r="AF623" s="99"/>
      <c r="AG623" s="99"/>
      <c r="AH623" s="99"/>
      <c r="AI623" s="99"/>
      <c r="AJ623" s="99"/>
      <c r="AK623" s="99"/>
      <c r="AL623" s="99"/>
      <c r="AM623" s="99"/>
      <c r="AN623" s="99"/>
      <c r="AO623" s="99"/>
      <c r="AP623" s="99"/>
      <c r="AQ623" s="99"/>
    </row>
    <row r="624" spans="1:43" ht="15.75" customHeight="1">
      <c r="A624" s="99"/>
      <c r="B624" s="99"/>
      <c r="C624" s="261"/>
      <c r="D624" s="232"/>
      <c r="E624" s="221"/>
      <c r="F624" s="99"/>
      <c r="G624" s="99"/>
      <c r="H624" s="222"/>
      <c r="I624" s="99"/>
      <c r="J624" s="35"/>
      <c r="K624" s="35"/>
      <c r="L624" s="35"/>
      <c r="M624" s="99"/>
      <c r="N624" s="99"/>
      <c r="O624" s="99"/>
      <c r="P624" s="223"/>
      <c r="Q624" s="224"/>
      <c r="R624" s="99"/>
      <c r="S624" s="99"/>
      <c r="T624" s="157"/>
      <c r="U624" s="158"/>
      <c r="V624" s="158"/>
      <c r="W624" s="110"/>
      <c r="X624" s="110"/>
      <c r="Y624" s="197"/>
      <c r="Z624" s="197"/>
      <c r="AA624" s="197"/>
      <c r="AB624" s="225"/>
      <c r="AC624" s="99"/>
      <c r="AD624" s="226"/>
      <c r="AE624" s="99"/>
      <c r="AF624" s="99"/>
      <c r="AG624" s="99"/>
      <c r="AH624" s="99"/>
      <c r="AI624" s="99"/>
      <c r="AJ624" s="99"/>
      <c r="AK624" s="99"/>
      <c r="AL624" s="99"/>
      <c r="AM624" s="99"/>
      <c r="AN624" s="99"/>
      <c r="AO624" s="99"/>
      <c r="AP624" s="99"/>
      <c r="AQ624" s="99"/>
    </row>
    <row r="625" spans="1:43" ht="15.75" customHeight="1">
      <c r="A625" s="99"/>
      <c r="B625" s="99"/>
      <c r="C625" s="261"/>
      <c r="D625" s="232"/>
      <c r="E625" s="221"/>
      <c r="F625" s="99"/>
      <c r="G625" s="99"/>
      <c r="H625" s="222"/>
      <c r="I625" s="99"/>
      <c r="J625" s="35"/>
      <c r="K625" s="35"/>
      <c r="L625" s="35"/>
      <c r="M625" s="99"/>
      <c r="N625" s="99"/>
      <c r="O625" s="99"/>
      <c r="P625" s="223"/>
      <c r="Q625" s="224"/>
      <c r="R625" s="99"/>
      <c r="S625" s="99"/>
      <c r="T625" s="157"/>
      <c r="U625" s="158"/>
      <c r="V625" s="158"/>
      <c r="W625" s="110"/>
      <c r="X625" s="110"/>
      <c r="Y625" s="197"/>
      <c r="Z625" s="197"/>
      <c r="AA625" s="197"/>
      <c r="AB625" s="225"/>
      <c r="AC625" s="99"/>
      <c r="AD625" s="226"/>
      <c r="AE625" s="99"/>
      <c r="AF625" s="99"/>
      <c r="AG625" s="99"/>
      <c r="AH625" s="99"/>
      <c r="AI625" s="99"/>
      <c r="AJ625" s="99"/>
      <c r="AK625" s="99"/>
      <c r="AL625" s="99"/>
      <c r="AM625" s="99"/>
      <c r="AN625" s="99"/>
      <c r="AO625" s="99"/>
      <c r="AP625" s="99"/>
      <c r="AQ625" s="99"/>
    </row>
    <row r="626" spans="1:43" ht="15.75" customHeight="1">
      <c r="A626" s="99"/>
      <c r="B626" s="99"/>
      <c r="C626" s="261"/>
      <c r="D626" s="232"/>
      <c r="E626" s="221"/>
      <c r="F626" s="99"/>
      <c r="G626" s="99"/>
      <c r="H626" s="222"/>
      <c r="I626" s="99"/>
      <c r="J626" s="35"/>
      <c r="K626" s="35"/>
      <c r="L626" s="35"/>
      <c r="M626" s="99"/>
      <c r="N626" s="99"/>
      <c r="O626" s="99"/>
      <c r="P626" s="223"/>
      <c r="Q626" s="224"/>
      <c r="R626" s="99"/>
      <c r="S626" s="99"/>
      <c r="T626" s="157"/>
      <c r="U626" s="158"/>
      <c r="V626" s="158"/>
      <c r="W626" s="110"/>
      <c r="X626" s="110"/>
      <c r="Y626" s="197"/>
      <c r="Z626" s="197"/>
      <c r="AA626" s="197"/>
      <c r="AB626" s="225"/>
      <c r="AC626" s="99"/>
      <c r="AD626" s="226"/>
      <c r="AE626" s="99"/>
      <c r="AF626" s="99"/>
      <c r="AG626" s="99"/>
      <c r="AH626" s="99"/>
      <c r="AI626" s="99"/>
      <c r="AJ626" s="99"/>
      <c r="AK626" s="99"/>
      <c r="AL626" s="99"/>
      <c r="AM626" s="99"/>
      <c r="AN626" s="99"/>
      <c r="AO626" s="99"/>
      <c r="AP626" s="99"/>
      <c r="AQ626" s="99"/>
    </row>
    <row r="627" spans="1:43" ht="15.75" customHeight="1">
      <c r="A627" s="99"/>
      <c r="B627" s="99"/>
      <c r="C627" s="261"/>
      <c r="D627" s="232"/>
      <c r="E627" s="221"/>
      <c r="F627" s="99"/>
      <c r="G627" s="99"/>
      <c r="H627" s="222"/>
      <c r="I627" s="99"/>
      <c r="J627" s="35"/>
      <c r="K627" s="35"/>
      <c r="L627" s="35"/>
      <c r="M627" s="99"/>
      <c r="N627" s="99"/>
      <c r="O627" s="99"/>
      <c r="P627" s="223"/>
      <c r="Q627" s="224"/>
      <c r="R627" s="99"/>
      <c r="S627" s="99"/>
      <c r="T627" s="157"/>
      <c r="U627" s="158"/>
      <c r="V627" s="158"/>
      <c r="W627" s="110"/>
      <c r="X627" s="110"/>
      <c r="Y627" s="197"/>
      <c r="Z627" s="197"/>
      <c r="AA627" s="197"/>
      <c r="AB627" s="225"/>
      <c r="AC627" s="99"/>
      <c r="AD627" s="226"/>
      <c r="AE627" s="99"/>
      <c r="AF627" s="99"/>
      <c r="AG627" s="99"/>
      <c r="AH627" s="99"/>
      <c r="AI627" s="99"/>
      <c r="AJ627" s="99"/>
      <c r="AK627" s="99"/>
      <c r="AL627" s="99"/>
      <c r="AM627" s="99"/>
      <c r="AN627" s="99"/>
      <c r="AO627" s="99"/>
      <c r="AP627" s="99"/>
      <c r="AQ627" s="99"/>
    </row>
    <row r="628" spans="1:43" ht="15.75" customHeight="1">
      <c r="A628" s="99"/>
      <c r="B628" s="99"/>
      <c r="C628" s="261"/>
      <c r="D628" s="232"/>
      <c r="E628" s="221"/>
      <c r="F628" s="99"/>
      <c r="G628" s="99"/>
      <c r="H628" s="222"/>
      <c r="I628" s="99"/>
      <c r="J628" s="35"/>
      <c r="K628" s="35"/>
      <c r="L628" s="35"/>
      <c r="M628" s="99"/>
      <c r="N628" s="99"/>
      <c r="O628" s="99"/>
      <c r="P628" s="223"/>
      <c r="Q628" s="224"/>
      <c r="R628" s="99"/>
      <c r="S628" s="99"/>
      <c r="T628" s="157"/>
      <c r="U628" s="158"/>
      <c r="V628" s="158"/>
      <c r="W628" s="110"/>
      <c r="X628" s="110"/>
      <c r="Y628" s="197"/>
      <c r="Z628" s="197"/>
      <c r="AA628" s="197"/>
      <c r="AB628" s="225"/>
      <c r="AC628" s="99"/>
      <c r="AD628" s="226"/>
      <c r="AE628" s="99"/>
      <c r="AF628" s="99"/>
      <c r="AG628" s="99"/>
      <c r="AH628" s="99"/>
      <c r="AI628" s="99"/>
      <c r="AJ628" s="99"/>
      <c r="AK628" s="99"/>
      <c r="AL628" s="99"/>
      <c r="AM628" s="99"/>
      <c r="AN628" s="99"/>
      <c r="AO628" s="99"/>
      <c r="AP628" s="99"/>
      <c r="AQ628" s="99"/>
    </row>
    <row r="629" spans="1:43" ht="15.75" customHeight="1">
      <c r="A629" s="99"/>
      <c r="B629" s="99"/>
      <c r="C629" s="261"/>
      <c r="D629" s="232"/>
      <c r="E629" s="221"/>
      <c r="F629" s="99"/>
      <c r="G629" s="99"/>
      <c r="H629" s="222"/>
      <c r="I629" s="99"/>
      <c r="J629" s="35"/>
      <c r="K629" s="35"/>
      <c r="L629" s="35"/>
      <c r="M629" s="99"/>
      <c r="N629" s="99"/>
      <c r="O629" s="99"/>
      <c r="P629" s="223"/>
      <c r="Q629" s="224"/>
      <c r="R629" s="99"/>
      <c r="S629" s="99"/>
      <c r="T629" s="157"/>
      <c r="U629" s="158"/>
      <c r="V629" s="158"/>
      <c r="W629" s="110"/>
      <c r="X629" s="110"/>
      <c r="Y629" s="197"/>
      <c r="Z629" s="197"/>
      <c r="AA629" s="197"/>
      <c r="AB629" s="225"/>
      <c r="AC629" s="99"/>
      <c r="AD629" s="226"/>
      <c r="AE629" s="99"/>
      <c r="AF629" s="99"/>
      <c r="AG629" s="99"/>
      <c r="AH629" s="99"/>
      <c r="AI629" s="99"/>
      <c r="AJ629" s="99"/>
      <c r="AK629" s="99"/>
      <c r="AL629" s="99"/>
      <c r="AM629" s="99"/>
      <c r="AN629" s="99"/>
      <c r="AO629" s="99"/>
      <c r="AP629" s="99"/>
      <c r="AQ629" s="99"/>
    </row>
    <row r="630" spans="1:43" ht="15.75" customHeight="1">
      <c r="A630" s="99"/>
      <c r="B630" s="99"/>
      <c r="C630" s="261"/>
      <c r="D630" s="232"/>
      <c r="E630" s="221"/>
      <c r="F630" s="99"/>
      <c r="G630" s="99"/>
      <c r="H630" s="222"/>
      <c r="I630" s="99"/>
      <c r="J630" s="35"/>
      <c r="K630" s="35"/>
      <c r="L630" s="35"/>
      <c r="M630" s="99"/>
      <c r="N630" s="99"/>
      <c r="O630" s="99"/>
      <c r="P630" s="223"/>
      <c r="Q630" s="224"/>
      <c r="R630" s="99"/>
      <c r="S630" s="99"/>
      <c r="T630" s="157"/>
      <c r="U630" s="158"/>
      <c r="V630" s="158"/>
      <c r="W630" s="110"/>
      <c r="X630" s="110"/>
      <c r="Y630" s="197"/>
      <c r="Z630" s="197"/>
      <c r="AA630" s="197"/>
      <c r="AB630" s="225"/>
      <c r="AC630" s="99"/>
      <c r="AD630" s="226"/>
      <c r="AE630" s="99"/>
      <c r="AF630" s="99"/>
      <c r="AG630" s="99"/>
      <c r="AH630" s="99"/>
      <c r="AI630" s="99"/>
      <c r="AJ630" s="99"/>
      <c r="AK630" s="99"/>
      <c r="AL630" s="99"/>
      <c r="AM630" s="99"/>
      <c r="AN630" s="99"/>
      <c r="AO630" s="99"/>
      <c r="AP630" s="99"/>
      <c r="AQ630" s="99"/>
    </row>
    <row r="631" spans="1:43" ht="15.75" customHeight="1">
      <c r="A631" s="99"/>
      <c r="B631" s="99"/>
      <c r="C631" s="261"/>
      <c r="D631" s="232"/>
      <c r="E631" s="221"/>
      <c r="F631" s="99"/>
      <c r="G631" s="99"/>
      <c r="H631" s="222"/>
      <c r="I631" s="99"/>
      <c r="J631" s="35"/>
      <c r="K631" s="35"/>
      <c r="L631" s="35"/>
      <c r="M631" s="99"/>
      <c r="N631" s="99"/>
      <c r="O631" s="99"/>
      <c r="P631" s="223"/>
      <c r="Q631" s="224"/>
      <c r="R631" s="99"/>
      <c r="S631" s="99"/>
      <c r="T631" s="157"/>
      <c r="U631" s="158"/>
      <c r="V631" s="158"/>
      <c r="W631" s="110"/>
      <c r="X631" s="110"/>
      <c r="Y631" s="197"/>
      <c r="Z631" s="197"/>
      <c r="AA631" s="197"/>
      <c r="AB631" s="225"/>
      <c r="AC631" s="99"/>
      <c r="AD631" s="226"/>
      <c r="AE631" s="99"/>
      <c r="AF631" s="99"/>
      <c r="AG631" s="99"/>
      <c r="AH631" s="99"/>
      <c r="AI631" s="99"/>
      <c r="AJ631" s="99"/>
      <c r="AK631" s="99"/>
      <c r="AL631" s="99"/>
      <c r="AM631" s="99"/>
      <c r="AN631" s="99"/>
      <c r="AO631" s="99"/>
      <c r="AP631" s="99"/>
      <c r="AQ631" s="99"/>
    </row>
    <row r="632" spans="1:43" ht="15.75" customHeight="1">
      <c r="A632" s="99"/>
      <c r="B632" s="99"/>
      <c r="C632" s="261"/>
      <c r="D632" s="232"/>
      <c r="E632" s="221"/>
      <c r="F632" s="99"/>
      <c r="G632" s="99"/>
      <c r="H632" s="222"/>
      <c r="I632" s="99"/>
      <c r="J632" s="35"/>
      <c r="K632" s="35"/>
      <c r="L632" s="35"/>
      <c r="M632" s="99"/>
      <c r="N632" s="99"/>
      <c r="O632" s="99"/>
      <c r="P632" s="223"/>
      <c r="Q632" s="224"/>
      <c r="R632" s="99"/>
      <c r="S632" s="99"/>
      <c r="T632" s="157"/>
      <c r="U632" s="158"/>
      <c r="V632" s="158"/>
      <c r="W632" s="110"/>
      <c r="X632" s="110"/>
      <c r="Y632" s="197"/>
      <c r="Z632" s="197"/>
      <c r="AA632" s="197"/>
      <c r="AB632" s="225"/>
      <c r="AC632" s="99"/>
      <c r="AD632" s="226"/>
      <c r="AE632" s="99"/>
      <c r="AF632" s="99"/>
      <c r="AG632" s="99"/>
      <c r="AH632" s="99"/>
      <c r="AI632" s="99"/>
      <c r="AJ632" s="99"/>
      <c r="AK632" s="99"/>
      <c r="AL632" s="99"/>
      <c r="AM632" s="99"/>
      <c r="AN632" s="99"/>
      <c r="AO632" s="99"/>
      <c r="AP632" s="99"/>
      <c r="AQ632" s="99"/>
    </row>
    <row r="633" spans="1:43" ht="15.75" customHeight="1">
      <c r="A633" s="99"/>
      <c r="B633" s="99"/>
      <c r="C633" s="261"/>
      <c r="D633" s="232"/>
      <c r="E633" s="221"/>
      <c r="F633" s="99"/>
      <c r="G633" s="99"/>
      <c r="H633" s="222"/>
      <c r="I633" s="99"/>
      <c r="J633" s="35"/>
      <c r="K633" s="35"/>
      <c r="L633" s="35"/>
      <c r="M633" s="99"/>
      <c r="N633" s="99"/>
      <c r="O633" s="99"/>
      <c r="P633" s="223"/>
      <c r="Q633" s="224"/>
      <c r="R633" s="99"/>
      <c r="S633" s="99"/>
      <c r="T633" s="157"/>
      <c r="U633" s="158"/>
      <c r="V633" s="158"/>
      <c r="W633" s="110"/>
      <c r="X633" s="110"/>
      <c r="Y633" s="197"/>
      <c r="Z633" s="197"/>
      <c r="AA633" s="197"/>
      <c r="AB633" s="225"/>
      <c r="AC633" s="99"/>
      <c r="AD633" s="226"/>
      <c r="AE633" s="99"/>
      <c r="AF633" s="99"/>
      <c r="AG633" s="99"/>
      <c r="AH633" s="99"/>
      <c r="AI633" s="99"/>
      <c r="AJ633" s="99"/>
      <c r="AK633" s="99"/>
      <c r="AL633" s="99"/>
      <c r="AM633" s="99"/>
      <c r="AN633" s="99"/>
      <c r="AO633" s="99"/>
      <c r="AP633" s="99"/>
      <c r="AQ633" s="99"/>
    </row>
    <row r="634" spans="1:43" ht="15.75" customHeight="1">
      <c r="A634" s="99"/>
      <c r="B634" s="99"/>
      <c r="C634" s="261"/>
      <c r="D634" s="232"/>
      <c r="E634" s="221"/>
      <c r="F634" s="99"/>
      <c r="G634" s="99"/>
      <c r="H634" s="222"/>
      <c r="I634" s="99"/>
      <c r="J634" s="35"/>
      <c r="K634" s="35"/>
      <c r="L634" s="35"/>
      <c r="M634" s="99"/>
      <c r="N634" s="99"/>
      <c r="O634" s="99"/>
      <c r="P634" s="223"/>
      <c r="Q634" s="224"/>
      <c r="R634" s="99"/>
      <c r="S634" s="99"/>
      <c r="T634" s="157"/>
      <c r="U634" s="158"/>
      <c r="V634" s="158"/>
      <c r="W634" s="110"/>
      <c r="X634" s="110"/>
      <c r="Y634" s="197"/>
      <c r="Z634" s="197"/>
      <c r="AA634" s="197"/>
      <c r="AB634" s="225"/>
      <c r="AC634" s="99"/>
      <c r="AD634" s="226"/>
      <c r="AE634" s="99"/>
      <c r="AF634" s="99"/>
      <c r="AG634" s="99"/>
      <c r="AH634" s="99"/>
      <c r="AI634" s="99"/>
      <c r="AJ634" s="99"/>
      <c r="AK634" s="99"/>
      <c r="AL634" s="99"/>
      <c r="AM634" s="99"/>
      <c r="AN634" s="99"/>
      <c r="AO634" s="99"/>
      <c r="AP634" s="99"/>
      <c r="AQ634" s="99"/>
    </row>
    <row r="635" spans="1:43" ht="15.75" customHeight="1">
      <c r="A635" s="99"/>
      <c r="B635" s="99"/>
      <c r="C635" s="261"/>
      <c r="D635" s="232"/>
      <c r="E635" s="221"/>
      <c r="F635" s="99"/>
      <c r="G635" s="99"/>
      <c r="H635" s="222"/>
      <c r="I635" s="99"/>
      <c r="J635" s="35"/>
      <c r="K635" s="35"/>
      <c r="L635" s="35"/>
      <c r="M635" s="99"/>
      <c r="N635" s="99"/>
      <c r="O635" s="99"/>
      <c r="P635" s="223"/>
      <c r="Q635" s="224"/>
      <c r="R635" s="99"/>
      <c r="S635" s="99"/>
      <c r="T635" s="157"/>
      <c r="U635" s="158"/>
      <c r="V635" s="158"/>
      <c r="W635" s="110"/>
      <c r="X635" s="110"/>
      <c r="Y635" s="197"/>
      <c r="Z635" s="197"/>
      <c r="AA635" s="197"/>
      <c r="AB635" s="225"/>
      <c r="AC635" s="99"/>
      <c r="AD635" s="226"/>
      <c r="AE635" s="99"/>
      <c r="AF635" s="99"/>
      <c r="AG635" s="99"/>
      <c r="AH635" s="99"/>
      <c r="AI635" s="99"/>
      <c r="AJ635" s="99"/>
      <c r="AK635" s="99"/>
      <c r="AL635" s="99"/>
      <c r="AM635" s="99"/>
      <c r="AN635" s="99"/>
      <c r="AO635" s="99"/>
      <c r="AP635" s="99"/>
      <c r="AQ635" s="99"/>
    </row>
    <row r="636" spans="1:43" ht="15.75" customHeight="1">
      <c r="A636" s="99"/>
      <c r="B636" s="99"/>
      <c r="C636" s="261"/>
      <c r="D636" s="232"/>
      <c r="E636" s="221"/>
      <c r="F636" s="99"/>
      <c r="G636" s="99"/>
      <c r="H636" s="222"/>
      <c r="I636" s="99"/>
      <c r="J636" s="35"/>
      <c r="K636" s="35"/>
      <c r="L636" s="35"/>
      <c r="M636" s="99"/>
      <c r="N636" s="99"/>
      <c r="O636" s="99"/>
      <c r="P636" s="223"/>
      <c r="Q636" s="224"/>
      <c r="R636" s="99"/>
      <c r="S636" s="99"/>
      <c r="T636" s="157"/>
      <c r="U636" s="158"/>
      <c r="V636" s="158"/>
      <c r="W636" s="110"/>
      <c r="X636" s="110"/>
      <c r="Y636" s="197"/>
      <c r="Z636" s="197"/>
      <c r="AA636" s="197"/>
      <c r="AB636" s="225"/>
      <c r="AC636" s="99"/>
      <c r="AD636" s="226"/>
      <c r="AE636" s="99"/>
      <c r="AF636" s="99"/>
      <c r="AG636" s="99"/>
      <c r="AH636" s="99"/>
      <c r="AI636" s="99"/>
      <c r="AJ636" s="99"/>
      <c r="AK636" s="99"/>
      <c r="AL636" s="99"/>
      <c r="AM636" s="99"/>
      <c r="AN636" s="99"/>
      <c r="AO636" s="99"/>
      <c r="AP636" s="99"/>
      <c r="AQ636" s="99"/>
    </row>
    <row r="637" spans="1:43" ht="15.75" customHeight="1">
      <c r="A637" s="99"/>
      <c r="B637" s="99"/>
      <c r="C637" s="261"/>
      <c r="D637" s="232"/>
      <c r="E637" s="221"/>
      <c r="F637" s="99"/>
      <c r="G637" s="99"/>
      <c r="H637" s="222"/>
      <c r="I637" s="99"/>
      <c r="J637" s="35"/>
      <c r="K637" s="35"/>
      <c r="L637" s="35"/>
      <c r="M637" s="99"/>
      <c r="N637" s="99"/>
      <c r="O637" s="99"/>
      <c r="P637" s="223"/>
      <c r="Q637" s="224"/>
      <c r="R637" s="99"/>
      <c r="S637" s="99"/>
      <c r="T637" s="157"/>
      <c r="U637" s="158"/>
      <c r="V637" s="158"/>
      <c r="W637" s="110"/>
      <c r="X637" s="110"/>
      <c r="Y637" s="197"/>
      <c r="Z637" s="197"/>
      <c r="AA637" s="197"/>
      <c r="AB637" s="225"/>
      <c r="AC637" s="99"/>
      <c r="AD637" s="226"/>
      <c r="AE637" s="99"/>
      <c r="AF637" s="99"/>
      <c r="AG637" s="99"/>
      <c r="AH637" s="99"/>
      <c r="AI637" s="99"/>
      <c r="AJ637" s="99"/>
      <c r="AK637" s="99"/>
      <c r="AL637" s="99"/>
      <c r="AM637" s="99"/>
      <c r="AN637" s="99"/>
      <c r="AO637" s="99"/>
      <c r="AP637" s="99"/>
      <c r="AQ637" s="99"/>
    </row>
    <row r="638" spans="1:43" ht="15.75" customHeight="1">
      <c r="A638" s="99"/>
      <c r="B638" s="99"/>
      <c r="C638" s="261"/>
      <c r="D638" s="232"/>
      <c r="E638" s="221"/>
      <c r="F638" s="99"/>
      <c r="G638" s="99"/>
      <c r="H638" s="222"/>
      <c r="I638" s="99"/>
      <c r="J638" s="35"/>
      <c r="K638" s="35"/>
      <c r="L638" s="35"/>
      <c r="M638" s="99"/>
      <c r="N638" s="99"/>
      <c r="O638" s="99"/>
      <c r="P638" s="223"/>
      <c r="Q638" s="224"/>
      <c r="R638" s="99"/>
      <c r="S638" s="99"/>
      <c r="T638" s="157"/>
      <c r="U638" s="158"/>
      <c r="V638" s="158"/>
      <c r="W638" s="110"/>
      <c r="X638" s="110"/>
      <c r="Y638" s="197"/>
      <c r="Z638" s="197"/>
      <c r="AA638" s="197"/>
      <c r="AB638" s="225"/>
      <c r="AC638" s="99"/>
      <c r="AD638" s="226"/>
      <c r="AE638" s="99"/>
      <c r="AF638" s="99"/>
      <c r="AG638" s="99"/>
      <c r="AH638" s="99"/>
      <c r="AI638" s="99"/>
      <c r="AJ638" s="99"/>
      <c r="AK638" s="99"/>
      <c r="AL638" s="99"/>
      <c r="AM638" s="99"/>
      <c r="AN638" s="99"/>
      <c r="AO638" s="99"/>
      <c r="AP638" s="99"/>
      <c r="AQ638" s="99"/>
    </row>
    <row r="639" spans="1:43" ht="15.75" customHeight="1">
      <c r="A639" s="99"/>
      <c r="B639" s="99"/>
      <c r="C639" s="261"/>
      <c r="D639" s="232"/>
      <c r="E639" s="221"/>
      <c r="F639" s="99"/>
      <c r="G639" s="99"/>
      <c r="H639" s="222"/>
      <c r="I639" s="99"/>
      <c r="J639" s="35"/>
      <c r="K639" s="35"/>
      <c r="L639" s="35"/>
      <c r="M639" s="99"/>
      <c r="N639" s="99"/>
      <c r="O639" s="99"/>
      <c r="P639" s="223"/>
      <c r="Q639" s="224"/>
      <c r="R639" s="99"/>
      <c r="S639" s="99"/>
      <c r="T639" s="157"/>
      <c r="U639" s="158"/>
      <c r="V639" s="158"/>
      <c r="W639" s="110"/>
      <c r="X639" s="110"/>
      <c r="Y639" s="197"/>
      <c r="Z639" s="197"/>
      <c r="AA639" s="197"/>
      <c r="AB639" s="225"/>
      <c r="AC639" s="99"/>
      <c r="AD639" s="226"/>
      <c r="AE639" s="99"/>
      <c r="AF639" s="99"/>
      <c r="AG639" s="99"/>
      <c r="AH639" s="99"/>
      <c r="AI639" s="99"/>
      <c r="AJ639" s="99"/>
      <c r="AK639" s="99"/>
      <c r="AL639" s="99"/>
      <c r="AM639" s="99"/>
      <c r="AN639" s="99"/>
      <c r="AO639" s="99"/>
      <c r="AP639" s="99"/>
      <c r="AQ639" s="99"/>
    </row>
    <row r="640" spans="1:43" ht="15.75" customHeight="1">
      <c r="A640" s="99"/>
      <c r="B640" s="99"/>
      <c r="C640" s="261"/>
      <c r="D640" s="232"/>
      <c r="E640" s="221"/>
      <c r="F640" s="99"/>
      <c r="G640" s="99"/>
      <c r="H640" s="222"/>
      <c r="I640" s="99"/>
      <c r="J640" s="35"/>
      <c r="K640" s="35"/>
      <c r="L640" s="35"/>
      <c r="M640" s="99"/>
      <c r="N640" s="99"/>
      <c r="O640" s="99"/>
      <c r="P640" s="223"/>
      <c r="Q640" s="224"/>
      <c r="R640" s="99"/>
      <c r="S640" s="99"/>
      <c r="T640" s="157"/>
      <c r="U640" s="158"/>
      <c r="V640" s="158"/>
      <c r="W640" s="110"/>
      <c r="X640" s="110"/>
      <c r="Y640" s="197"/>
      <c r="Z640" s="197"/>
      <c r="AA640" s="197"/>
      <c r="AB640" s="225"/>
      <c r="AC640" s="99"/>
      <c r="AD640" s="226"/>
      <c r="AE640" s="99"/>
      <c r="AF640" s="99"/>
      <c r="AG640" s="99"/>
      <c r="AH640" s="99"/>
      <c r="AI640" s="99"/>
      <c r="AJ640" s="99"/>
      <c r="AK640" s="99"/>
      <c r="AL640" s="99"/>
      <c r="AM640" s="99"/>
      <c r="AN640" s="99"/>
      <c r="AO640" s="99"/>
      <c r="AP640" s="99"/>
      <c r="AQ640" s="99"/>
    </row>
    <row r="641" spans="1:43" ht="15.75" customHeight="1">
      <c r="A641" s="99"/>
      <c r="B641" s="99"/>
      <c r="C641" s="261"/>
      <c r="D641" s="232"/>
      <c r="E641" s="221"/>
      <c r="F641" s="99"/>
      <c r="G641" s="99"/>
      <c r="H641" s="222"/>
      <c r="I641" s="99"/>
      <c r="J641" s="35"/>
      <c r="K641" s="35"/>
      <c r="L641" s="35"/>
      <c r="M641" s="99"/>
      <c r="N641" s="99"/>
      <c r="O641" s="99"/>
      <c r="P641" s="223"/>
      <c r="Q641" s="224"/>
      <c r="R641" s="99"/>
      <c r="S641" s="99"/>
      <c r="T641" s="157"/>
      <c r="U641" s="158"/>
      <c r="V641" s="158"/>
      <c r="W641" s="110"/>
      <c r="X641" s="110"/>
      <c r="Y641" s="197"/>
      <c r="Z641" s="197"/>
      <c r="AA641" s="197"/>
      <c r="AB641" s="225"/>
      <c r="AC641" s="99"/>
      <c r="AD641" s="226"/>
      <c r="AE641" s="99"/>
      <c r="AF641" s="99"/>
      <c r="AG641" s="99"/>
      <c r="AH641" s="99"/>
      <c r="AI641" s="99"/>
      <c r="AJ641" s="99"/>
      <c r="AK641" s="99"/>
      <c r="AL641" s="99"/>
      <c r="AM641" s="99"/>
      <c r="AN641" s="99"/>
      <c r="AO641" s="99"/>
      <c r="AP641" s="99"/>
      <c r="AQ641" s="99"/>
    </row>
    <row r="642" spans="1:43" ht="15.75" customHeight="1">
      <c r="A642" s="99"/>
      <c r="B642" s="99"/>
      <c r="C642" s="261"/>
      <c r="D642" s="232"/>
      <c r="E642" s="221"/>
      <c r="F642" s="99"/>
      <c r="G642" s="99"/>
      <c r="H642" s="222"/>
      <c r="I642" s="99"/>
      <c r="J642" s="35"/>
      <c r="K642" s="35"/>
      <c r="L642" s="35"/>
      <c r="M642" s="99"/>
      <c r="N642" s="99"/>
      <c r="O642" s="99"/>
      <c r="P642" s="223"/>
      <c r="Q642" s="224"/>
      <c r="R642" s="99"/>
      <c r="S642" s="99"/>
      <c r="T642" s="157"/>
      <c r="U642" s="158"/>
      <c r="V642" s="158"/>
      <c r="W642" s="110"/>
      <c r="X642" s="110"/>
      <c r="Y642" s="197"/>
      <c r="Z642" s="197"/>
      <c r="AA642" s="197"/>
      <c r="AB642" s="225"/>
      <c r="AC642" s="99"/>
      <c r="AD642" s="226"/>
      <c r="AE642" s="99"/>
      <c r="AF642" s="99"/>
      <c r="AG642" s="99"/>
      <c r="AH642" s="99"/>
      <c r="AI642" s="99"/>
      <c r="AJ642" s="99"/>
      <c r="AK642" s="99"/>
      <c r="AL642" s="99"/>
      <c r="AM642" s="99"/>
      <c r="AN642" s="99"/>
      <c r="AO642" s="99"/>
      <c r="AP642" s="99"/>
      <c r="AQ642" s="99"/>
    </row>
    <row r="643" spans="1:43" ht="15.75" customHeight="1">
      <c r="A643" s="99"/>
      <c r="B643" s="99"/>
      <c r="C643" s="261"/>
      <c r="D643" s="232"/>
      <c r="E643" s="221"/>
      <c r="F643" s="99"/>
      <c r="G643" s="99"/>
      <c r="H643" s="222"/>
      <c r="I643" s="99"/>
      <c r="J643" s="35"/>
      <c r="K643" s="35"/>
      <c r="L643" s="35"/>
      <c r="M643" s="99"/>
      <c r="N643" s="99"/>
      <c r="O643" s="99"/>
      <c r="P643" s="223"/>
      <c r="Q643" s="224"/>
      <c r="R643" s="99"/>
      <c r="S643" s="99"/>
      <c r="T643" s="157"/>
      <c r="U643" s="158"/>
      <c r="V643" s="158"/>
      <c r="W643" s="110"/>
      <c r="X643" s="110"/>
      <c r="Y643" s="197"/>
      <c r="Z643" s="197"/>
      <c r="AA643" s="197"/>
      <c r="AB643" s="225"/>
      <c r="AC643" s="99"/>
      <c r="AD643" s="226"/>
      <c r="AE643" s="99"/>
      <c r="AF643" s="99"/>
      <c r="AG643" s="99"/>
      <c r="AH643" s="99"/>
      <c r="AI643" s="99"/>
      <c r="AJ643" s="99"/>
      <c r="AK643" s="99"/>
      <c r="AL643" s="99"/>
      <c r="AM643" s="99"/>
      <c r="AN643" s="99"/>
      <c r="AO643" s="99"/>
      <c r="AP643" s="99"/>
      <c r="AQ643" s="99"/>
    </row>
    <row r="644" spans="1:43" ht="15.75" customHeight="1">
      <c r="A644" s="99"/>
      <c r="B644" s="99"/>
      <c r="C644" s="261"/>
      <c r="D644" s="232"/>
      <c r="E644" s="221"/>
      <c r="F644" s="99"/>
      <c r="G644" s="99"/>
      <c r="H644" s="222"/>
      <c r="I644" s="99"/>
      <c r="J644" s="35"/>
      <c r="K644" s="35"/>
      <c r="L644" s="35"/>
      <c r="M644" s="99"/>
      <c r="N644" s="99"/>
      <c r="O644" s="99"/>
      <c r="P644" s="223"/>
      <c r="Q644" s="224"/>
      <c r="R644" s="99"/>
      <c r="S644" s="99"/>
      <c r="T644" s="157"/>
      <c r="U644" s="158"/>
      <c r="V644" s="158"/>
      <c r="W644" s="110"/>
      <c r="X644" s="110"/>
      <c r="Y644" s="197"/>
      <c r="Z644" s="197"/>
      <c r="AA644" s="197"/>
      <c r="AB644" s="225"/>
      <c r="AC644" s="99"/>
      <c r="AD644" s="226"/>
      <c r="AE644" s="99"/>
      <c r="AF644" s="99"/>
      <c r="AG644" s="99"/>
      <c r="AH644" s="99"/>
      <c r="AI644" s="99"/>
      <c r="AJ644" s="99"/>
      <c r="AK644" s="99"/>
      <c r="AL644" s="99"/>
      <c r="AM644" s="99"/>
      <c r="AN644" s="99"/>
      <c r="AO644" s="99"/>
      <c r="AP644" s="99"/>
      <c r="AQ644" s="99"/>
    </row>
    <row r="645" spans="1:43" ht="15.75" customHeight="1">
      <c r="A645" s="99"/>
      <c r="B645" s="99"/>
      <c r="C645" s="261"/>
      <c r="D645" s="232"/>
      <c r="E645" s="221"/>
      <c r="F645" s="99"/>
      <c r="G645" s="99"/>
      <c r="H645" s="222"/>
      <c r="I645" s="99"/>
      <c r="J645" s="35"/>
      <c r="K645" s="35"/>
      <c r="L645" s="35"/>
      <c r="M645" s="99"/>
      <c r="N645" s="99"/>
      <c r="O645" s="99"/>
      <c r="P645" s="223"/>
      <c r="Q645" s="224"/>
      <c r="R645" s="99"/>
      <c r="S645" s="99"/>
      <c r="T645" s="157"/>
      <c r="U645" s="158"/>
      <c r="V645" s="158"/>
      <c r="W645" s="110"/>
      <c r="X645" s="110"/>
      <c r="Y645" s="197"/>
      <c r="Z645" s="197"/>
      <c r="AA645" s="197"/>
      <c r="AB645" s="225"/>
      <c r="AC645" s="99"/>
      <c r="AD645" s="226"/>
      <c r="AE645" s="99"/>
      <c r="AF645" s="99"/>
      <c r="AG645" s="99"/>
      <c r="AH645" s="99"/>
      <c r="AI645" s="99"/>
      <c r="AJ645" s="99"/>
      <c r="AK645" s="99"/>
      <c r="AL645" s="99"/>
      <c r="AM645" s="99"/>
      <c r="AN645" s="99"/>
      <c r="AO645" s="99"/>
      <c r="AP645" s="99"/>
      <c r="AQ645" s="99"/>
    </row>
    <row r="646" spans="1:43" ht="15.75" customHeight="1">
      <c r="A646" s="99"/>
      <c r="B646" s="99"/>
      <c r="C646" s="261"/>
      <c r="D646" s="232"/>
      <c r="E646" s="221"/>
      <c r="F646" s="99"/>
      <c r="G646" s="99"/>
      <c r="H646" s="222"/>
      <c r="I646" s="99"/>
      <c r="J646" s="35"/>
      <c r="K646" s="35"/>
      <c r="L646" s="35"/>
      <c r="M646" s="99"/>
      <c r="N646" s="99"/>
      <c r="O646" s="99"/>
      <c r="P646" s="223"/>
      <c r="Q646" s="224"/>
      <c r="R646" s="99"/>
      <c r="S646" s="99"/>
      <c r="T646" s="157"/>
      <c r="U646" s="158"/>
      <c r="V646" s="158"/>
      <c r="W646" s="110"/>
      <c r="X646" s="110"/>
      <c r="Y646" s="197"/>
      <c r="Z646" s="197"/>
      <c r="AA646" s="197"/>
      <c r="AB646" s="225"/>
      <c r="AC646" s="99"/>
      <c r="AD646" s="226"/>
      <c r="AE646" s="99"/>
      <c r="AF646" s="99"/>
      <c r="AG646" s="99"/>
      <c r="AH646" s="99"/>
      <c r="AI646" s="99"/>
      <c r="AJ646" s="99"/>
      <c r="AK646" s="99"/>
      <c r="AL646" s="99"/>
      <c r="AM646" s="99"/>
      <c r="AN646" s="99"/>
      <c r="AO646" s="99"/>
      <c r="AP646" s="99"/>
      <c r="AQ646" s="99"/>
    </row>
    <row r="647" spans="1:43" ht="15.75" customHeight="1">
      <c r="A647" s="99"/>
      <c r="B647" s="99"/>
      <c r="C647" s="261"/>
      <c r="D647" s="232"/>
      <c r="E647" s="221"/>
      <c r="F647" s="99"/>
      <c r="G647" s="99"/>
      <c r="H647" s="222"/>
      <c r="I647" s="99"/>
      <c r="J647" s="35"/>
      <c r="K647" s="35"/>
      <c r="L647" s="35"/>
      <c r="M647" s="99"/>
      <c r="N647" s="99"/>
      <c r="O647" s="99"/>
      <c r="P647" s="223"/>
      <c r="Q647" s="224"/>
      <c r="R647" s="99"/>
      <c r="S647" s="99"/>
      <c r="T647" s="157"/>
      <c r="U647" s="158"/>
      <c r="V647" s="158"/>
      <c r="W647" s="110"/>
      <c r="X647" s="110"/>
      <c r="Y647" s="197"/>
      <c r="Z647" s="197"/>
      <c r="AA647" s="197"/>
      <c r="AB647" s="225"/>
      <c r="AC647" s="99"/>
      <c r="AD647" s="226"/>
      <c r="AE647" s="99"/>
      <c r="AF647" s="99"/>
      <c r="AG647" s="99"/>
      <c r="AH647" s="99"/>
      <c r="AI647" s="99"/>
      <c r="AJ647" s="99"/>
      <c r="AK647" s="99"/>
      <c r="AL647" s="99"/>
      <c r="AM647" s="99"/>
      <c r="AN647" s="99"/>
      <c r="AO647" s="99"/>
      <c r="AP647" s="99"/>
      <c r="AQ647" s="99"/>
    </row>
    <row r="648" spans="1:43" ht="15.75" customHeight="1">
      <c r="A648" s="99"/>
      <c r="B648" s="99"/>
      <c r="C648" s="261"/>
      <c r="D648" s="232"/>
      <c r="E648" s="221"/>
      <c r="F648" s="99"/>
      <c r="G648" s="99"/>
      <c r="H648" s="222"/>
      <c r="I648" s="99"/>
      <c r="J648" s="35"/>
      <c r="K648" s="35"/>
      <c r="L648" s="35"/>
      <c r="M648" s="99"/>
      <c r="N648" s="99"/>
      <c r="O648" s="99"/>
      <c r="P648" s="223"/>
      <c r="Q648" s="224"/>
      <c r="R648" s="99"/>
      <c r="S648" s="99"/>
      <c r="T648" s="157"/>
      <c r="U648" s="158"/>
      <c r="V648" s="158"/>
      <c r="W648" s="110"/>
      <c r="X648" s="110"/>
      <c r="Y648" s="197"/>
      <c r="Z648" s="197"/>
      <c r="AA648" s="197"/>
      <c r="AB648" s="225"/>
      <c r="AC648" s="99"/>
      <c r="AD648" s="226"/>
      <c r="AE648" s="99"/>
      <c r="AF648" s="99"/>
      <c r="AG648" s="99"/>
      <c r="AH648" s="99"/>
      <c r="AI648" s="99"/>
      <c r="AJ648" s="99"/>
      <c r="AK648" s="99"/>
      <c r="AL648" s="99"/>
      <c r="AM648" s="99"/>
      <c r="AN648" s="99"/>
      <c r="AO648" s="99"/>
      <c r="AP648" s="99"/>
      <c r="AQ648" s="99"/>
    </row>
    <row r="649" spans="1:43" ht="15.75" customHeight="1">
      <c r="A649" s="99"/>
      <c r="B649" s="99"/>
      <c r="C649" s="261"/>
      <c r="D649" s="232"/>
      <c r="E649" s="221"/>
      <c r="F649" s="99"/>
      <c r="G649" s="99"/>
      <c r="H649" s="222"/>
      <c r="I649" s="99"/>
      <c r="J649" s="35"/>
      <c r="K649" s="35"/>
      <c r="L649" s="35"/>
      <c r="M649" s="99"/>
      <c r="N649" s="99"/>
      <c r="O649" s="99"/>
      <c r="P649" s="223"/>
      <c r="Q649" s="224"/>
      <c r="R649" s="99"/>
      <c r="S649" s="99"/>
      <c r="T649" s="157"/>
      <c r="U649" s="158"/>
      <c r="V649" s="158"/>
      <c r="W649" s="110"/>
      <c r="X649" s="110"/>
      <c r="Y649" s="197"/>
      <c r="Z649" s="197"/>
      <c r="AA649" s="197"/>
      <c r="AB649" s="225"/>
      <c r="AC649" s="99"/>
      <c r="AD649" s="226"/>
      <c r="AE649" s="99"/>
      <c r="AF649" s="99"/>
      <c r="AG649" s="99"/>
      <c r="AH649" s="99"/>
      <c r="AI649" s="99"/>
      <c r="AJ649" s="99"/>
      <c r="AK649" s="99"/>
      <c r="AL649" s="99"/>
      <c r="AM649" s="99"/>
      <c r="AN649" s="99"/>
      <c r="AO649" s="99"/>
      <c r="AP649" s="99"/>
      <c r="AQ649" s="99"/>
    </row>
    <row r="650" spans="1:43" ht="15.75" customHeight="1">
      <c r="A650" s="99"/>
      <c r="B650" s="99"/>
      <c r="C650" s="261"/>
      <c r="D650" s="232"/>
      <c r="E650" s="221"/>
      <c r="F650" s="99"/>
      <c r="G650" s="99"/>
      <c r="H650" s="222"/>
      <c r="I650" s="99"/>
      <c r="J650" s="35"/>
      <c r="K650" s="35"/>
      <c r="L650" s="35"/>
      <c r="M650" s="99"/>
      <c r="N650" s="99"/>
      <c r="O650" s="99"/>
      <c r="P650" s="223"/>
      <c r="Q650" s="224"/>
      <c r="R650" s="99"/>
      <c r="S650" s="99"/>
      <c r="T650" s="157"/>
      <c r="U650" s="158"/>
      <c r="V650" s="158"/>
      <c r="W650" s="110"/>
      <c r="X650" s="110"/>
      <c r="Y650" s="197"/>
      <c r="Z650" s="197"/>
      <c r="AA650" s="197"/>
      <c r="AB650" s="225"/>
      <c r="AC650" s="99"/>
      <c r="AD650" s="226"/>
      <c r="AE650" s="99"/>
      <c r="AF650" s="99"/>
      <c r="AG650" s="99"/>
      <c r="AH650" s="99"/>
      <c r="AI650" s="99"/>
      <c r="AJ650" s="99"/>
      <c r="AK650" s="99"/>
      <c r="AL650" s="99"/>
      <c r="AM650" s="99"/>
      <c r="AN650" s="99"/>
      <c r="AO650" s="99"/>
      <c r="AP650" s="99"/>
      <c r="AQ650" s="99"/>
    </row>
    <row r="651" spans="1:43" ht="15.75" customHeight="1">
      <c r="A651" s="99"/>
      <c r="B651" s="99"/>
      <c r="C651" s="261"/>
      <c r="D651" s="232"/>
      <c r="E651" s="221"/>
      <c r="F651" s="99"/>
      <c r="G651" s="99"/>
      <c r="H651" s="222"/>
      <c r="I651" s="99"/>
      <c r="J651" s="35"/>
      <c r="K651" s="35"/>
      <c r="L651" s="35"/>
      <c r="M651" s="99"/>
      <c r="N651" s="99"/>
      <c r="O651" s="99"/>
      <c r="P651" s="223"/>
      <c r="Q651" s="224"/>
      <c r="R651" s="99"/>
      <c r="S651" s="99"/>
      <c r="T651" s="157"/>
      <c r="U651" s="158"/>
      <c r="V651" s="158"/>
      <c r="W651" s="110"/>
      <c r="X651" s="110"/>
      <c r="Y651" s="197"/>
      <c r="Z651" s="197"/>
      <c r="AA651" s="197"/>
      <c r="AB651" s="225"/>
      <c r="AC651" s="99"/>
      <c r="AD651" s="226"/>
      <c r="AE651" s="99"/>
      <c r="AF651" s="99"/>
      <c r="AG651" s="99"/>
      <c r="AH651" s="99"/>
      <c r="AI651" s="99"/>
      <c r="AJ651" s="99"/>
      <c r="AK651" s="99"/>
      <c r="AL651" s="99"/>
      <c r="AM651" s="99"/>
      <c r="AN651" s="99"/>
      <c r="AO651" s="99"/>
      <c r="AP651" s="99"/>
      <c r="AQ651" s="99"/>
    </row>
    <row r="652" spans="1:43" ht="15.75" customHeight="1">
      <c r="A652" s="99"/>
      <c r="B652" s="99"/>
      <c r="C652" s="261"/>
      <c r="D652" s="232"/>
      <c r="E652" s="221"/>
      <c r="F652" s="99"/>
      <c r="G652" s="99"/>
      <c r="H652" s="222"/>
      <c r="I652" s="99"/>
      <c r="J652" s="35"/>
      <c r="K652" s="35"/>
      <c r="L652" s="35"/>
      <c r="M652" s="99"/>
      <c r="N652" s="99"/>
      <c r="O652" s="99"/>
      <c r="P652" s="223"/>
      <c r="Q652" s="224"/>
      <c r="R652" s="99"/>
      <c r="S652" s="99"/>
      <c r="T652" s="157"/>
      <c r="U652" s="158"/>
      <c r="V652" s="158"/>
      <c r="W652" s="110"/>
      <c r="X652" s="110"/>
      <c r="Y652" s="197"/>
      <c r="Z652" s="197"/>
      <c r="AA652" s="197"/>
      <c r="AB652" s="225"/>
      <c r="AC652" s="99"/>
      <c r="AD652" s="226"/>
      <c r="AE652" s="99"/>
      <c r="AF652" s="99"/>
      <c r="AG652" s="99"/>
      <c r="AH652" s="99"/>
      <c r="AI652" s="99"/>
      <c r="AJ652" s="99"/>
      <c r="AK652" s="99"/>
      <c r="AL652" s="99"/>
      <c r="AM652" s="99"/>
      <c r="AN652" s="99"/>
      <c r="AO652" s="99"/>
      <c r="AP652" s="99"/>
      <c r="AQ652" s="99"/>
    </row>
    <row r="653" spans="1:43" ht="15.75" customHeight="1">
      <c r="A653" s="99"/>
      <c r="B653" s="99"/>
      <c r="C653" s="261"/>
      <c r="D653" s="232"/>
      <c r="E653" s="221"/>
      <c r="F653" s="99"/>
      <c r="G653" s="99"/>
      <c r="H653" s="222"/>
      <c r="I653" s="99"/>
      <c r="J653" s="35"/>
      <c r="K653" s="35"/>
      <c r="L653" s="35"/>
      <c r="M653" s="99"/>
      <c r="N653" s="99"/>
      <c r="O653" s="99"/>
      <c r="P653" s="223"/>
      <c r="Q653" s="224"/>
      <c r="R653" s="99"/>
      <c r="S653" s="99"/>
      <c r="T653" s="157"/>
      <c r="U653" s="158"/>
      <c r="V653" s="158"/>
      <c r="W653" s="110"/>
      <c r="X653" s="110"/>
      <c r="Y653" s="197"/>
      <c r="Z653" s="197"/>
      <c r="AA653" s="197"/>
      <c r="AB653" s="225"/>
      <c r="AC653" s="99"/>
      <c r="AD653" s="226"/>
      <c r="AE653" s="99"/>
      <c r="AF653" s="99"/>
      <c r="AG653" s="99"/>
      <c r="AH653" s="99"/>
      <c r="AI653" s="99"/>
      <c r="AJ653" s="99"/>
      <c r="AK653" s="99"/>
      <c r="AL653" s="99"/>
      <c r="AM653" s="99"/>
      <c r="AN653" s="99"/>
      <c r="AO653" s="99"/>
      <c r="AP653" s="99"/>
      <c r="AQ653" s="99"/>
    </row>
    <row r="654" spans="1:43" ht="15.75" customHeight="1">
      <c r="A654" s="99"/>
      <c r="B654" s="99"/>
      <c r="C654" s="261"/>
      <c r="D654" s="232"/>
      <c r="E654" s="221"/>
      <c r="F654" s="99"/>
      <c r="G654" s="99"/>
      <c r="H654" s="222"/>
      <c r="I654" s="99"/>
      <c r="J654" s="35"/>
      <c r="K654" s="35"/>
      <c r="L654" s="35"/>
      <c r="M654" s="99"/>
      <c r="N654" s="99"/>
      <c r="O654" s="99"/>
      <c r="P654" s="223"/>
      <c r="Q654" s="224"/>
      <c r="R654" s="99"/>
      <c r="S654" s="99"/>
      <c r="T654" s="157"/>
      <c r="U654" s="158"/>
      <c r="V654" s="158"/>
      <c r="W654" s="110"/>
      <c r="X654" s="110"/>
      <c r="Y654" s="197"/>
      <c r="Z654" s="197"/>
      <c r="AA654" s="197"/>
      <c r="AB654" s="225"/>
      <c r="AC654" s="99"/>
      <c r="AD654" s="226"/>
      <c r="AE654" s="99"/>
      <c r="AF654" s="99"/>
      <c r="AG654" s="99"/>
      <c r="AH654" s="99"/>
      <c r="AI654" s="99"/>
      <c r="AJ654" s="99"/>
      <c r="AK654" s="99"/>
      <c r="AL654" s="99"/>
      <c r="AM654" s="99"/>
      <c r="AN654" s="99"/>
      <c r="AO654" s="99"/>
      <c r="AP654" s="99"/>
      <c r="AQ654" s="99"/>
    </row>
    <row r="655" spans="1:43" ht="15.75" customHeight="1">
      <c r="A655" s="99"/>
      <c r="B655" s="99"/>
      <c r="C655" s="261"/>
      <c r="D655" s="232"/>
      <c r="E655" s="221"/>
      <c r="F655" s="99"/>
      <c r="G655" s="99"/>
      <c r="H655" s="222"/>
      <c r="I655" s="99"/>
      <c r="J655" s="35"/>
      <c r="K655" s="35"/>
      <c r="L655" s="35"/>
      <c r="M655" s="99"/>
      <c r="N655" s="99"/>
      <c r="O655" s="99"/>
      <c r="P655" s="223"/>
      <c r="Q655" s="224"/>
      <c r="R655" s="99"/>
      <c r="S655" s="99"/>
      <c r="T655" s="157"/>
      <c r="U655" s="158"/>
      <c r="V655" s="158"/>
      <c r="W655" s="110"/>
      <c r="X655" s="110"/>
      <c r="Y655" s="197"/>
      <c r="Z655" s="197"/>
      <c r="AA655" s="197"/>
      <c r="AB655" s="225"/>
      <c r="AC655" s="99"/>
      <c r="AD655" s="226"/>
      <c r="AE655" s="99"/>
      <c r="AF655" s="99"/>
      <c r="AG655" s="99"/>
      <c r="AH655" s="99"/>
      <c r="AI655" s="99"/>
      <c r="AJ655" s="99"/>
      <c r="AK655" s="99"/>
      <c r="AL655" s="99"/>
      <c r="AM655" s="99"/>
      <c r="AN655" s="99"/>
      <c r="AO655" s="99"/>
      <c r="AP655" s="99"/>
      <c r="AQ655" s="99"/>
    </row>
    <row r="656" spans="1:43" ht="15.75" customHeight="1">
      <c r="A656" s="99"/>
      <c r="B656" s="99"/>
      <c r="C656" s="261"/>
      <c r="D656" s="232"/>
      <c r="E656" s="221"/>
      <c r="F656" s="99"/>
      <c r="G656" s="99"/>
      <c r="H656" s="222"/>
      <c r="I656" s="99"/>
      <c r="J656" s="35"/>
      <c r="K656" s="35"/>
      <c r="L656" s="35"/>
      <c r="M656" s="99"/>
      <c r="N656" s="99"/>
      <c r="O656" s="99"/>
      <c r="P656" s="223"/>
      <c r="Q656" s="224"/>
      <c r="R656" s="99"/>
      <c r="S656" s="99"/>
      <c r="T656" s="157"/>
      <c r="U656" s="158"/>
      <c r="V656" s="158"/>
      <c r="W656" s="110"/>
      <c r="X656" s="110"/>
      <c r="Y656" s="197"/>
      <c r="Z656" s="197"/>
      <c r="AA656" s="197"/>
      <c r="AB656" s="225"/>
      <c r="AC656" s="99"/>
      <c r="AD656" s="226"/>
      <c r="AE656" s="99"/>
      <c r="AF656" s="99"/>
      <c r="AG656" s="99"/>
      <c r="AH656" s="99"/>
      <c r="AI656" s="99"/>
      <c r="AJ656" s="99"/>
      <c r="AK656" s="99"/>
      <c r="AL656" s="99"/>
      <c r="AM656" s="99"/>
      <c r="AN656" s="99"/>
      <c r="AO656" s="99"/>
      <c r="AP656" s="99"/>
      <c r="AQ656" s="99"/>
    </row>
    <row r="657" spans="1:43" ht="15.75" customHeight="1">
      <c r="A657" s="99"/>
      <c r="B657" s="99"/>
      <c r="C657" s="261"/>
      <c r="D657" s="232"/>
      <c r="E657" s="221"/>
      <c r="F657" s="99"/>
      <c r="G657" s="99"/>
      <c r="H657" s="222"/>
      <c r="I657" s="99"/>
      <c r="J657" s="35"/>
      <c r="K657" s="35"/>
      <c r="L657" s="35"/>
      <c r="M657" s="99"/>
      <c r="N657" s="99"/>
      <c r="O657" s="99"/>
      <c r="P657" s="223"/>
      <c r="Q657" s="224"/>
      <c r="R657" s="99"/>
      <c r="S657" s="99"/>
      <c r="T657" s="157"/>
      <c r="U657" s="158"/>
      <c r="V657" s="158"/>
      <c r="W657" s="110"/>
      <c r="X657" s="110"/>
      <c r="Y657" s="197"/>
      <c r="Z657" s="197"/>
      <c r="AA657" s="197"/>
      <c r="AB657" s="225"/>
      <c r="AC657" s="99"/>
      <c r="AD657" s="226"/>
      <c r="AE657" s="99"/>
      <c r="AF657" s="99"/>
      <c r="AG657" s="99"/>
      <c r="AH657" s="99"/>
      <c r="AI657" s="99"/>
      <c r="AJ657" s="99"/>
      <c r="AK657" s="99"/>
      <c r="AL657" s="99"/>
      <c r="AM657" s="99"/>
      <c r="AN657" s="99"/>
      <c r="AO657" s="99"/>
      <c r="AP657" s="99"/>
      <c r="AQ657" s="99"/>
    </row>
    <row r="658" spans="1:43" ht="15.75" customHeight="1">
      <c r="A658" s="99"/>
      <c r="B658" s="99"/>
      <c r="C658" s="261"/>
      <c r="D658" s="232"/>
      <c r="E658" s="221"/>
      <c r="F658" s="99"/>
      <c r="G658" s="99"/>
      <c r="H658" s="222"/>
      <c r="I658" s="99"/>
      <c r="J658" s="35"/>
      <c r="K658" s="35"/>
      <c r="L658" s="35"/>
      <c r="M658" s="99"/>
      <c r="N658" s="99"/>
      <c r="O658" s="99"/>
      <c r="P658" s="223"/>
      <c r="Q658" s="224"/>
      <c r="R658" s="99"/>
      <c r="S658" s="99"/>
      <c r="T658" s="157"/>
      <c r="U658" s="158"/>
      <c r="V658" s="158"/>
      <c r="W658" s="110"/>
      <c r="X658" s="110"/>
      <c r="Y658" s="197"/>
      <c r="Z658" s="197"/>
      <c r="AA658" s="197"/>
      <c r="AB658" s="225"/>
      <c r="AC658" s="99"/>
      <c r="AD658" s="226"/>
      <c r="AE658" s="99"/>
      <c r="AF658" s="99"/>
      <c r="AG658" s="99"/>
      <c r="AH658" s="99"/>
      <c r="AI658" s="99"/>
      <c r="AJ658" s="99"/>
      <c r="AK658" s="99"/>
      <c r="AL658" s="99"/>
      <c r="AM658" s="99"/>
      <c r="AN658" s="99"/>
      <c r="AO658" s="99"/>
      <c r="AP658" s="99"/>
      <c r="AQ658" s="99"/>
    </row>
    <row r="659" spans="1:43" ht="15.75" customHeight="1">
      <c r="A659" s="99"/>
      <c r="B659" s="99"/>
      <c r="C659" s="261"/>
      <c r="D659" s="232"/>
      <c r="E659" s="221"/>
      <c r="F659" s="99"/>
      <c r="G659" s="99"/>
      <c r="H659" s="222"/>
      <c r="I659" s="99"/>
      <c r="J659" s="35"/>
      <c r="K659" s="35"/>
      <c r="L659" s="35"/>
      <c r="M659" s="99"/>
      <c r="N659" s="99"/>
      <c r="O659" s="99"/>
      <c r="P659" s="223"/>
      <c r="Q659" s="224"/>
      <c r="R659" s="99"/>
      <c r="S659" s="99"/>
      <c r="T659" s="157"/>
      <c r="U659" s="158"/>
      <c r="V659" s="158"/>
      <c r="W659" s="110"/>
      <c r="X659" s="110"/>
      <c r="Y659" s="197"/>
      <c r="Z659" s="197"/>
      <c r="AA659" s="197"/>
      <c r="AB659" s="225"/>
      <c r="AC659" s="99"/>
      <c r="AD659" s="226"/>
      <c r="AE659" s="99"/>
      <c r="AF659" s="99"/>
      <c r="AG659" s="99"/>
      <c r="AH659" s="99"/>
      <c r="AI659" s="99"/>
      <c r="AJ659" s="99"/>
      <c r="AK659" s="99"/>
      <c r="AL659" s="99"/>
      <c r="AM659" s="99"/>
      <c r="AN659" s="99"/>
      <c r="AO659" s="99"/>
      <c r="AP659" s="99"/>
      <c r="AQ659" s="99"/>
    </row>
    <row r="660" spans="1:43" ht="15.75" customHeight="1">
      <c r="A660" s="99"/>
      <c r="B660" s="99"/>
      <c r="C660" s="261"/>
      <c r="D660" s="232"/>
      <c r="E660" s="221"/>
      <c r="F660" s="99"/>
      <c r="G660" s="99"/>
      <c r="H660" s="222"/>
      <c r="I660" s="99"/>
      <c r="J660" s="35"/>
      <c r="K660" s="35"/>
      <c r="L660" s="35"/>
      <c r="M660" s="99"/>
      <c r="N660" s="99"/>
      <c r="O660" s="99"/>
      <c r="P660" s="223"/>
      <c r="Q660" s="224"/>
      <c r="R660" s="99"/>
      <c r="S660" s="99"/>
      <c r="T660" s="157"/>
      <c r="U660" s="158"/>
      <c r="V660" s="158"/>
      <c r="W660" s="110"/>
      <c r="X660" s="110"/>
      <c r="Y660" s="197"/>
      <c r="Z660" s="197"/>
      <c r="AA660" s="197"/>
      <c r="AB660" s="225"/>
      <c r="AC660" s="99"/>
      <c r="AD660" s="226"/>
      <c r="AE660" s="99"/>
      <c r="AF660" s="99"/>
      <c r="AG660" s="99"/>
      <c r="AH660" s="99"/>
      <c r="AI660" s="99"/>
      <c r="AJ660" s="99"/>
      <c r="AK660" s="99"/>
      <c r="AL660" s="99"/>
      <c r="AM660" s="99"/>
      <c r="AN660" s="99"/>
      <c r="AO660" s="99"/>
      <c r="AP660" s="99"/>
      <c r="AQ660" s="99"/>
    </row>
    <row r="661" spans="1:43" ht="15.75" customHeight="1">
      <c r="A661" s="99"/>
      <c r="B661" s="99"/>
      <c r="C661" s="261"/>
      <c r="D661" s="232"/>
      <c r="E661" s="221"/>
      <c r="F661" s="99"/>
      <c r="G661" s="99"/>
      <c r="H661" s="222"/>
      <c r="I661" s="99"/>
      <c r="J661" s="35"/>
      <c r="K661" s="35"/>
      <c r="L661" s="35"/>
      <c r="M661" s="99"/>
      <c r="N661" s="99"/>
      <c r="O661" s="99"/>
      <c r="P661" s="223"/>
      <c r="Q661" s="224"/>
      <c r="R661" s="99"/>
      <c r="S661" s="99"/>
      <c r="T661" s="157"/>
      <c r="U661" s="158"/>
      <c r="V661" s="158"/>
      <c r="W661" s="110"/>
      <c r="X661" s="110"/>
      <c r="Y661" s="197"/>
      <c r="Z661" s="197"/>
      <c r="AA661" s="197"/>
      <c r="AB661" s="225"/>
      <c r="AC661" s="99"/>
      <c r="AD661" s="226"/>
      <c r="AE661" s="99"/>
      <c r="AF661" s="99"/>
      <c r="AG661" s="99"/>
      <c r="AH661" s="99"/>
      <c r="AI661" s="99"/>
      <c r="AJ661" s="99"/>
      <c r="AK661" s="99"/>
      <c r="AL661" s="99"/>
      <c r="AM661" s="99"/>
      <c r="AN661" s="99"/>
      <c r="AO661" s="99"/>
      <c r="AP661" s="99"/>
      <c r="AQ661" s="99"/>
    </row>
    <row r="662" spans="1:43" ht="15.75" customHeight="1">
      <c r="A662" s="99"/>
      <c r="B662" s="99"/>
      <c r="C662" s="261"/>
      <c r="D662" s="232"/>
      <c r="E662" s="221"/>
      <c r="F662" s="99"/>
      <c r="G662" s="99"/>
      <c r="H662" s="222"/>
      <c r="I662" s="99"/>
      <c r="J662" s="35"/>
      <c r="K662" s="35"/>
      <c r="L662" s="35"/>
      <c r="M662" s="99"/>
      <c r="N662" s="99"/>
      <c r="O662" s="99"/>
      <c r="P662" s="223"/>
      <c r="Q662" s="224"/>
      <c r="R662" s="99"/>
      <c r="S662" s="99"/>
      <c r="T662" s="157"/>
      <c r="U662" s="158"/>
      <c r="V662" s="158"/>
      <c r="W662" s="110"/>
      <c r="X662" s="110"/>
      <c r="Y662" s="197"/>
      <c r="Z662" s="197"/>
      <c r="AA662" s="197"/>
      <c r="AB662" s="225"/>
      <c r="AC662" s="99"/>
      <c r="AD662" s="226"/>
      <c r="AE662" s="99"/>
      <c r="AF662" s="99"/>
      <c r="AG662" s="99"/>
      <c r="AH662" s="99"/>
      <c r="AI662" s="99"/>
      <c r="AJ662" s="99"/>
      <c r="AK662" s="99"/>
      <c r="AL662" s="99"/>
      <c r="AM662" s="99"/>
      <c r="AN662" s="99"/>
      <c r="AO662" s="99"/>
      <c r="AP662" s="99"/>
      <c r="AQ662" s="99"/>
    </row>
    <row r="663" spans="1:43" ht="15.75" customHeight="1">
      <c r="A663" s="99"/>
      <c r="B663" s="99"/>
      <c r="C663" s="261"/>
      <c r="D663" s="232"/>
      <c r="E663" s="221"/>
      <c r="F663" s="99"/>
      <c r="G663" s="99"/>
      <c r="H663" s="222"/>
      <c r="I663" s="99"/>
      <c r="J663" s="35"/>
      <c r="K663" s="35"/>
      <c r="L663" s="35"/>
      <c r="M663" s="99"/>
      <c r="N663" s="99"/>
      <c r="O663" s="99"/>
      <c r="P663" s="223"/>
      <c r="Q663" s="224"/>
      <c r="R663" s="99"/>
      <c r="S663" s="99"/>
      <c r="T663" s="157"/>
      <c r="U663" s="158"/>
      <c r="V663" s="158"/>
      <c r="W663" s="110"/>
      <c r="X663" s="110"/>
      <c r="Y663" s="197"/>
      <c r="Z663" s="197"/>
      <c r="AA663" s="197"/>
      <c r="AB663" s="225"/>
      <c r="AC663" s="99"/>
      <c r="AD663" s="226"/>
      <c r="AE663" s="99"/>
      <c r="AF663" s="99"/>
      <c r="AG663" s="99"/>
      <c r="AH663" s="99"/>
      <c r="AI663" s="99"/>
      <c r="AJ663" s="99"/>
      <c r="AK663" s="99"/>
      <c r="AL663" s="99"/>
      <c r="AM663" s="99"/>
      <c r="AN663" s="99"/>
      <c r="AO663" s="99"/>
      <c r="AP663" s="99"/>
      <c r="AQ663" s="99"/>
    </row>
    <row r="664" spans="1:43" ht="15.75" customHeight="1">
      <c r="A664" s="99"/>
      <c r="B664" s="99"/>
      <c r="C664" s="261"/>
      <c r="D664" s="232"/>
      <c r="E664" s="221"/>
      <c r="F664" s="99"/>
      <c r="G664" s="99"/>
      <c r="H664" s="222"/>
      <c r="I664" s="99"/>
      <c r="J664" s="35"/>
      <c r="K664" s="35"/>
      <c r="L664" s="35"/>
      <c r="M664" s="99"/>
      <c r="N664" s="99"/>
      <c r="O664" s="99"/>
      <c r="P664" s="223"/>
      <c r="Q664" s="224"/>
      <c r="R664" s="99"/>
      <c r="S664" s="99"/>
      <c r="T664" s="157"/>
      <c r="U664" s="158"/>
      <c r="V664" s="158"/>
      <c r="W664" s="110"/>
      <c r="X664" s="110"/>
      <c r="Y664" s="197"/>
      <c r="Z664" s="197"/>
      <c r="AA664" s="197"/>
      <c r="AB664" s="225"/>
      <c r="AC664" s="99"/>
      <c r="AD664" s="226"/>
      <c r="AE664" s="99"/>
      <c r="AF664" s="99"/>
      <c r="AG664" s="99"/>
      <c r="AH664" s="99"/>
      <c r="AI664" s="99"/>
      <c r="AJ664" s="99"/>
      <c r="AK664" s="99"/>
      <c r="AL664" s="99"/>
      <c r="AM664" s="99"/>
      <c r="AN664" s="99"/>
      <c r="AO664" s="99"/>
      <c r="AP664" s="99"/>
      <c r="AQ664" s="99"/>
    </row>
    <row r="665" spans="1:43" ht="15.75" customHeight="1">
      <c r="A665" s="99"/>
      <c r="B665" s="99"/>
      <c r="C665" s="261"/>
      <c r="D665" s="232"/>
      <c r="E665" s="221"/>
      <c r="F665" s="99"/>
      <c r="G665" s="99"/>
      <c r="H665" s="222"/>
      <c r="I665" s="99"/>
      <c r="J665" s="35"/>
      <c r="K665" s="35"/>
      <c r="L665" s="35"/>
      <c r="M665" s="99"/>
      <c r="N665" s="99"/>
      <c r="O665" s="99"/>
      <c r="P665" s="223"/>
      <c r="Q665" s="224"/>
      <c r="R665" s="99"/>
      <c r="S665" s="99"/>
      <c r="T665" s="157"/>
      <c r="U665" s="158"/>
      <c r="V665" s="158"/>
      <c r="W665" s="110"/>
      <c r="X665" s="110"/>
      <c r="Y665" s="197"/>
      <c r="Z665" s="197"/>
      <c r="AA665" s="197"/>
      <c r="AB665" s="225"/>
      <c r="AC665" s="99"/>
      <c r="AD665" s="226"/>
      <c r="AE665" s="99"/>
      <c r="AF665" s="99"/>
      <c r="AG665" s="99"/>
      <c r="AH665" s="99"/>
      <c r="AI665" s="99"/>
      <c r="AJ665" s="99"/>
      <c r="AK665" s="99"/>
      <c r="AL665" s="99"/>
      <c r="AM665" s="99"/>
      <c r="AN665" s="99"/>
      <c r="AO665" s="99"/>
      <c r="AP665" s="99"/>
      <c r="AQ665" s="99"/>
    </row>
    <row r="666" spans="1:43" ht="15.75" customHeight="1">
      <c r="A666" s="99"/>
      <c r="B666" s="99"/>
      <c r="C666" s="261"/>
      <c r="D666" s="232"/>
      <c r="E666" s="221"/>
      <c r="F666" s="99"/>
      <c r="G666" s="99"/>
      <c r="H666" s="222"/>
      <c r="I666" s="99"/>
      <c r="J666" s="35"/>
      <c r="K666" s="35"/>
      <c r="L666" s="35"/>
      <c r="M666" s="99"/>
      <c r="N666" s="99"/>
      <c r="O666" s="99"/>
      <c r="P666" s="223"/>
      <c r="Q666" s="224"/>
      <c r="R666" s="99"/>
      <c r="S666" s="99"/>
      <c r="T666" s="157"/>
      <c r="U666" s="158"/>
      <c r="V666" s="158"/>
      <c r="W666" s="110"/>
      <c r="X666" s="110"/>
      <c r="Y666" s="197"/>
      <c r="Z666" s="197"/>
      <c r="AA666" s="197"/>
      <c r="AB666" s="225"/>
      <c r="AC666" s="99"/>
      <c r="AD666" s="226"/>
      <c r="AE666" s="99"/>
      <c r="AF666" s="99"/>
      <c r="AG666" s="99"/>
      <c r="AH666" s="99"/>
      <c r="AI666" s="99"/>
      <c r="AJ666" s="99"/>
      <c r="AK666" s="99"/>
      <c r="AL666" s="99"/>
      <c r="AM666" s="99"/>
      <c r="AN666" s="99"/>
      <c r="AO666" s="99"/>
      <c r="AP666" s="99"/>
      <c r="AQ666" s="99"/>
    </row>
    <row r="667" spans="1:43" ht="15.75" customHeight="1">
      <c r="A667" s="99"/>
      <c r="B667" s="99"/>
      <c r="C667" s="261"/>
      <c r="D667" s="232"/>
      <c r="E667" s="221"/>
      <c r="F667" s="99"/>
      <c r="G667" s="99"/>
      <c r="H667" s="222"/>
      <c r="I667" s="99"/>
      <c r="J667" s="35"/>
      <c r="K667" s="35"/>
      <c r="L667" s="35"/>
      <c r="M667" s="99"/>
      <c r="N667" s="99"/>
      <c r="O667" s="99"/>
      <c r="P667" s="223"/>
      <c r="Q667" s="224"/>
      <c r="R667" s="99"/>
      <c r="S667" s="99"/>
      <c r="T667" s="157"/>
      <c r="U667" s="158"/>
      <c r="V667" s="158"/>
      <c r="W667" s="110"/>
      <c r="X667" s="110"/>
      <c r="Y667" s="197"/>
      <c r="Z667" s="197"/>
      <c r="AA667" s="197"/>
      <c r="AB667" s="225"/>
      <c r="AC667" s="99"/>
      <c r="AD667" s="226"/>
      <c r="AE667" s="99"/>
      <c r="AF667" s="99"/>
      <c r="AG667" s="99"/>
      <c r="AH667" s="99"/>
      <c r="AI667" s="99"/>
      <c r="AJ667" s="99"/>
      <c r="AK667" s="99"/>
      <c r="AL667" s="99"/>
      <c r="AM667" s="99"/>
      <c r="AN667" s="99"/>
      <c r="AO667" s="99"/>
      <c r="AP667" s="99"/>
      <c r="AQ667" s="99"/>
    </row>
    <row r="668" spans="1:43" ht="15.75" customHeight="1">
      <c r="A668" s="99"/>
      <c r="B668" s="99"/>
      <c r="C668" s="261"/>
      <c r="D668" s="232"/>
      <c r="E668" s="221"/>
      <c r="F668" s="99"/>
      <c r="G668" s="99"/>
      <c r="H668" s="222"/>
      <c r="I668" s="99"/>
      <c r="J668" s="35"/>
      <c r="K668" s="35"/>
      <c r="L668" s="35"/>
      <c r="M668" s="99"/>
      <c r="N668" s="99"/>
      <c r="O668" s="99"/>
      <c r="P668" s="223"/>
      <c r="Q668" s="224"/>
      <c r="R668" s="99"/>
      <c r="S668" s="99"/>
      <c r="T668" s="157"/>
      <c r="U668" s="158"/>
      <c r="V668" s="158"/>
      <c r="W668" s="110"/>
      <c r="X668" s="110"/>
      <c r="Y668" s="197"/>
      <c r="Z668" s="197"/>
      <c r="AA668" s="197"/>
      <c r="AB668" s="225"/>
      <c r="AC668" s="99"/>
      <c r="AD668" s="226"/>
      <c r="AE668" s="99"/>
      <c r="AF668" s="99"/>
      <c r="AG668" s="99"/>
      <c r="AH668" s="99"/>
      <c r="AI668" s="99"/>
      <c r="AJ668" s="99"/>
      <c r="AK668" s="99"/>
      <c r="AL668" s="99"/>
      <c r="AM668" s="99"/>
      <c r="AN668" s="99"/>
      <c r="AO668" s="99"/>
      <c r="AP668" s="99"/>
      <c r="AQ668" s="99"/>
    </row>
    <row r="669" spans="1:43" ht="15.75" customHeight="1">
      <c r="A669" s="99"/>
      <c r="B669" s="99"/>
      <c r="C669" s="261"/>
      <c r="D669" s="232"/>
      <c r="E669" s="221"/>
      <c r="F669" s="99"/>
      <c r="G669" s="99"/>
      <c r="H669" s="222"/>
      <c r="I669" s="99"/>
      <c r="J669" s="35"/>
      <c r="K669" s="35"/>
      <c r="L669" s="35"/>
      <c r="M669" s="99"/>
      <c r="N669" s="99"/>
      <c r="O669" s="99"/>
      <c r="P669" s="223"/>
      <c r="Q669" s="224"/>
      <c r="R669" s="99"/>
      <c r="S669" s="99"/>
      <c r="T669" s="157"/>
      <c r="U669" s="158"/>
      <c r="V669" s="158"/>
      <c r="W669" s="110"/>
      <c r="X669" s="110"/>
      <c r="Y669" s="197"/>
      <c r="Z669" s="197"/>
      <c r="AA669" s="197"/>
      <c r="AB669" s="225"/>
      <c r="AC669" s="99"/>
      <c r="AD669" s="226"/>
      <c r="AE669" s="99"/>
      <c r="AF669" s="99"/>
      <c r="AG669" s="99"/>
      <c r="AH669" s="99"/>
      <c r="AI669" s="99"/>
      <c r="AJ669" s="99"/>
      <c r="AK669" s="99"/>
      <c r="AL669" s="99"/>
      <c r="AM669" s="99"/>
      <c r="AN669" s="99"/>
      <c r="AO669" s="99"/>
      <c r="AP669" s="99"/>
      <c r="AQ669" s="99"/>
    </row>
    <row r="670" spans="1:43" ht="15.75" customHeight="1">
      <c r="A670" s="99"/>
      <c r="B670" s="99"/>
      <c r="C670" s="261"/>
      <c r="D670" s="232"/>
      <c r="E670" s="221"/>
      <c r="F670" s="99"/>
      <c r="G670" s="99"/>
      <c r="H670" s="222"/>
      <c r="I670" s="99"/>
      <c r="J670" s="35"/>
      <c r="K670" s="35"/>
      <c r="L670" s="35"/>
      <c r="M670" s="99"/>
      <c r="N670" s="99"/>
      <c r="O670" s="99"/>
      <c r="P670" s="223"/>
      <c r="Q670" s="224"/>
      <c r="R670" s="99"/>
      <c r="S670" s="99"/>
      <c r="T670" s="157"/>
      <c r="U670" s="158"/>
      <c r="V670" s="158"/>
      <c r="W670" s="110"/>
      <c r="X670" s="110"/>
      <c r="Y670" s="197"/>
      <c r="Z670" s="197"/>
      <c r="AA670" s="197"/>
      <c r="AB670" s="225"/>
      <c r="AC670" s="99"/>
      <c r="AD670" s="226"/>
      <c r="AE670" s="99"/>
      <c r="AF670" s="99"/>
      <c r="AG670" s="99"/>
      <c r="AH670" s="99"/>
      <c r="AI670" s="99"/>
      <c r="AJ670" s="99"/>
      <c r="AK670" s="99"/>
      <c r="AL670" s="99"/>
      <c r="AM670" s="99"/>
      <c r="AN670" s="99"/>
      <c r="AO670" s="99"/>
      <c r="AP670" s="99"/>
      <c r="AQ670" s="99"/>
    </row>
    <row r="671" spans="1:43" ht="15.75" customHeight="1">
      <c r="A671" s="99"/>
      <c r="B671" s="99"/>
      <c r="C671" s="261"/>
      <c r="D671" s="232"/>
      <c r="E671" s="221"/>
      <c r="F671" s="99"/>
      <c r="G671" s="99"/>
      <c r="H671" s="222"/>
      <c r="I671" s="99"/>
      <c r="J671" s="35"/>
      <c r="K671" s="35"/>
      <c r="L671" s="35"/>
      <c r="M671" s="99"/>
      <c r="N671" s="99"/>
      <c r="O671" s="99"/>
      <c r="P671" s="223"/>
      <c r="Q671" s="224"/>
      <c r="R671" s="99"/>
      <c r="S671" s="99"/>
      <c r="T671" s="157"/>
      <c r="U671" s="158"/>
      <c r="V671" s="158"/>
      <c r="W671" s="110"/>
      <c r="X671" s="110"/>
      <c r="Y671" s="197"/>
      <c r="Z671" s="197"/>
      <c r="AA671" s="197"/>
      <c r="AB671" s="225"/>
      <c r="AC671" s="99"/>
      <c r="AD671" s="226"/>
      <c r="AE671" s="99"/>
      <c r="AF671" s="99"/>
      <c r="AG671" s="99"/>
      <c r="AH671" s="99"/>
      <c r="AI671" s="99"/>
      <c r="AJ671" s="99"/>
      <c r="AK671" s="99"/>
      <c r="AL671" s="99"/>
      <c r="AM671" s="99"/>
      <c r="AN671" s="99"/>
      <c r="AO671" s="99"/>
      <c r="AP671" s="99"/>
      <c r="AQ671" s="99"/>
    </row>
    <row r="672" spans="1:43" ht="15.75" customHeight="1">
      <c r="A672" s="99"/>
      <c r="B672" s="99"/>
      <c r="C672" s="261"/>
      <c r="D672" s="232"/>
      <c r="E672" s="221"/>
      <c r="F672" s="99"/>
      <c r="G672" s="99"/>
      <c r="H672" s="222"/>
      <c r="I672" s="99"/>
      <c r="J672" s="35"/>
      <c r="K672" s="35"/>
      <c r="L672" s="35"/>
      <c r="M672" s="99"/>
      <c r="N672" s="99"/>
      <c r="O672" s="99"/>
      <c r="P672" s="223"/>
      <c r="Q672" s="224"/>
      <c r="R672" s="99"/>
      <c r="S672" s="99"/>
      <c r="T672" s="157"/>
      <c r="U672" s="158"/>
      <c r="V672" s="158"/>
      <c r="W672" s="110"/>
      <c r="X672" s="110"/>
      <c r="Y672" s="197"/>
      <c r="Z672" s="197"/>
      <c r="AA672" s="197"/>
      <c r="AB672" s="225"/>
      <c r="AC672" s="99"/>
      <c r="AD672" s="226"/>
      <c r="AE672" s="99"/>
      <c r="AF672" s="99"/>
      <c r="AG672" s="99"/>
      <c r="AH672" s="99"/>
      <c r="AI672" s="99"/>
      <c r="AJ672" s="99"/>
      <c r="AK672" s="99"/>
      <c r="AL672" s="99"/>
      <c r="AM672" s="99"/>
      <c r="AN672" s="99"/>
      <c r="AO672" s="99"/>
      <c r="AP672" s="99"/>
      <c r="AQ672" s="99"/>
    </row>
    <row r="673" spans="1:43" ht="15.75" customHeight="1">
      <c r="A673" s="99"/>
      <c r="B673" s="99"/>
      <c r="C673" s="261"/>
      <c r="D673" s="232"/>
      <c r="E673" s="221"/>
      <c r="F673" s="99"/>
      <c r="G673" s="99"/>
      <c r="H673" s="222"/>
      <c r="I673" s="99"/>
      <c r="J673" s="35"/>
      <c r="K673" s="35"/>
      <c r="L673" s="35"/>
      <c r="M673" s="99"/>
      <c r="N673" s="99"/>
      <c r="O673" s="99"/>
      <c r="P673" s="223"/>
      <c r="Q673" s="224"/>
      <c r="R673" s="99"/>
      <c r="S673" s="99"/>
      <c r="T673" s="157"/>
      <c r="U673" s="158"/>
      <c r="V673" s="158"/>
      <c r="W673" s="110"/>
      <c r="X673" s="110"/>
      <c r="Y673" s="197"/>
      <c r="Z673" s="197"/>
      <c r="AA673" s="197"/>
      <c r="AB673" s="225"/>
      <c r="AC673" s="99"/>
      <c r="AD673" s="226"/>
      <c r="AE673" s="99"/>
      <c r="AF673" s="99"/>
      <c r="AG673" s="99"/>
      <c r="AH673" s="99"/>
      <c r="AI673" s="99"/>
      <c r="AJ673" s="99"/>
      <c r="AK673" s="99"/>
      <c r="AL673" s="99"/>
      <c r="AM673" s="99"/>
      <c r="AN673" s="99"/>
      <c r="AO673" s="99"/>
      <c r="AP673" s="99"/>
      <c r="AQ673" s="99"/>
    </row>
    <row r="674" spans="1:43" ht="15.75" customHeight="1">
      <c r="A674" s="99"/>
      <c r="B674" s="99"/>
      <c r="C674" s="261"/>
      <c r="D674" s="232"/>
      <c r="E674" s="221"/>
      <c r="F674" s="99"/>
      <c r="G674" s="99"/>
      <c r="H674" s="222"/>
      <c r="I674" s="99"/>
      <c r="J674" s="35"/>
      <c r="K674" s="35"/>
      <c r="L674" s="35"/>
      <c r="M674" s="99"/>
      <c r="N674" s="99"/>
      <c r="O674" s="99"/>
      <c r="P674" s="223"/>
      <c r="Q674" s="224"/>
      <c r="R674" s="99"/>
      <c r="S674" s="99"/>
      <c r="T674" s="157"/>
      <c r="U674" s="158"/>
      <c r="V674" s="158"/>
      <c r="W674" s="110"/>
      <c r="X674" s="110"/>
      <c r="Y674" s="197"/>
      <c r="Z674" s="197"/>
      <c r="AA674" s="197"/>
      <c r="AB674" s="225"/>
      <c r="AC674" s="99"/>
      <c r="AD674" s="226"/>
      <c r="AE674" s="99"/>
      <c r="AF674" s="99"/>
      <c r="AG674" s="99"/>
      <c r="AH674" s="99"/>
      <c r="AI674" s="99"/>
      <c r="AJ674" s="99"/>
      <c r="AK674" s="99"/>
      <c r="AL674" s="99"/>
      <c r="AM674" s="99"/>
      <c r="AN674" s="99"/>
      <c r="AO674" s="99"/>
      <c r="AP674" s="99"/>
      <c r="AQ674" s="99"/>
    </row>
    <row r="675" spans="1:43" ht="15.75" customHeight="1">
      <c r="A675" s="99"/>
      <c r="B675" s="99"/>
      <c r="C675" s="261"/>
      <c r="D675" s="232"/>
      <c r="E675" s="221"/>
      <c r="F675" s="99"/>
      <c r="G675" s="99"/>
      <c r="H675" s="222"/>
      <c r="I675" s="99"/>
      <c r="J675" s="35"/>
      <c r="K675" s="35"/>
      <c r="L675" s="35"/>
      <c r="M675" s="99"/>
      <c r="N675" s="99"/>
      <c r="O675" s="99"/>
      <c r="P675" s="223"/>
      <c r="Q675" s="224"/>
      <c r="R675" s="99"/>
      <c r="S675" s="99"/>
      <c r="T675" s="157"/>
      <c r="U675" s="158"/>
      <c r="V675" s="158"/>
      <c r="W675" s="110"/>
      <c r="X675" s="110"/>
      <c r="Y675" s="197"/>
      <c r="Z675" s="197"/>
      <c r="AA675" s="197"/>
      <c r="AB675" s="225"/>
      <c r="AC675" s="99"/>
      <c r="AD675" s="226"/>
      <c r="AE675" s="99"/>
      <c r="AF675" s="99"/>
      <c r="AG675" s="99"/>
      <c r="AH675" s="99"/>
      <c r="AI675" s="99"/>
      <c r="AJ675" s="99"/>
      <c r="AK675" s="99"/>
      <c r="AL675" s="99"/>
      <c r="AM675" s="99"/>
      <c r="AN675" s="99"/>
      <c r="AO675" s="99"/>
      <c r="AP675" s="99"/>
      <c r="AQ675" s="99"/>
    </row>
    <row r="676" spans="1:43" ht="15.75" customHeight="1">
      <c r="A676" s="99"/>
      <c r="B676" s="99"/>
      <c r="C676" s="261"/>
      <c r="D676" s="232"/>
      <c r="E676" s="221"/>
      <c r="F676" s="99"/>
      <c r="G676" s="99"/>
      <c r="H676" s="222"/>
      <c r="I676" s="99"/>
      <c r="J676" s="35"/>
      <c r="K676" s="35"/>
      <c r="L676" s="35"/>
      <c r="M676" s="99"/>
      <c r="N676" s="99"/>
      <c r="O676" s="99"/>
      <c r="P676" s="223"/>
      <c r="Q676" s="224"/>
      <c r="R676" s="99"/>
      <c r="S676" s="99"/>
      <c r="T676" s="157"/>
      <c r="U676" s="158"/>
      <c r="V676" s="158"/>
      <c r="W676" s="110"/>
      <c r="X676" s="110"/>
      <c r="Y676" s="197"/>
      <c r="Z676" s="197"/>
      <c r="AA676" s="197"/>
      <c r="AB676" s="225"/>
      <c r="AC676" s="99"/>
      <c r="AD676" s="226"/>
      <c r="AE676" s="99"/>
      <c r="AF676" s="99"/>
      <c r="AG676" s="99"/>
      <c r="AH676" s="99"/>
      <c r="AI676" s="99"/>
      <c r="AJ676" s="99"/>
      <c r="AK676" s="99"/>
      <c r="AL676" s="99"/>
      <c r="AM676" s="99"/>
      <c r="AN676" s="99"/>
      <c r="AO676" s="99"/>
      <c r="AP676" s="99"/>
      <c r="AQ676" s="99"/>
    </row>
    <row r="677" spans="1:43" ht="15.75" customHeight="1">
      <c r="A677" s="99"/>
      <c r="B677" s="99"/>
      <c r="C677" s="261"/>
      <c r="D677" s="232"/>
      <c r="E677" s="221"/>
      <c r="F677" s="99"/>
      <c r="G677" s="99"/>
      <c r="H677" s="222"/>
      <c r="I677" s="99"/>
      <c r="J677" s="35"/>
      <c r="K677" s="35"/>
      <c r="L677" s="35"/>
      <c r="M677" s="99"/>
      <c r="N677" s="99"/>
      <c r="O677" s="99"/>
      <c r="P677" s="223"/>
      <c r="Q677" s="224"/>
      <c r="R677" s="99"/>
      <c r="S677" s="99"/>
      <c r="T677" s="157"/>
      <c r="U677" s="158"/>
      <c r="V677" s="158"/>
      <c r="W677" s="110"/>
      <c r="X677" s="110"/>
      <c r="Y677" s="197"/>
      <c r="Z677" s="197"/>
      <c r="AA677" s="197"/>
      <c r="AB677" s="225"/>
      <c r="AC677" s="99"/>
      <c r="AD677" s="226"/>
      <c r="AE677" s="99"/>
      <c r="AF677" s="99"/>
      <c r="AG677" s="99"/>
      <c r="AH677" s="99"/>
      <c r="AI677" s="99"/>
      <c r="AJ677" s="99"/>
      <c r="AK677" s="99"/>
      <c r="AL677" s="99"/>
      <c r="AM677" s="99"/>
      <c r="AN677" s="99"/>
      <c r="AO677" s="99"/>
      <c r="AP677" s="99"/>
      <c r="AQ677" s="99"/>
    </row>
    <row r="678" spans="1:43" ht="15.75" customHeight="1">
      <c r="A678" s="99"/>
      <c r="B678" s="99"/>
      <c r="C678" s="261"/>
      <c r="D678" s="232"/>
      <c r="E678" s="221"/>
      <c r="F678" s="99"/>
      <c r="G678" s="99"/>
      <c r="H678" s="222"/>
      <c r="I678" s="99"/>
      <c r="J678" s="35"/>
      <c r="K678" s="35"/>
      <c r="L678" s="35"/>
      <c r="M678" s="99"/>
      <c r="N678" s="99"/>
      <c r="O678" s="99"/>
      <c r="P678" s="223"/>
      <c r="Q678" s="224"/>
      <c r="R678" s="99"/>
      <c r="S678" s="99"/>
      <c r="T678" s="157"/>
      <c r="U678" s="158"/>
      <c r="V678" s="158"/>
      <c r="W678" s="110"/>
      <c r="X678" s="110"/>
      <c r="Y678" s="197"/>
      <c r="Z678" s="197"/>
      <c r="AA678" s="197"/>
      <c r="AB678" s="225"/>
      <c r="AC678" s="99"/>
      <c r="AD678" s="226"/>
      <c r="AE678" s="99"/>
      <c r="AF678" s="99"/>
      <c r="AG678" s="99"/>
      <c r="AH678" s="99"/>
      <c r="AI678" s="99"/>
      <c r="AJ678" s="99"/>
      <c r="AK678" s="99"/>
      <c r="AL678" s="99"/>
      <c r="AM678" s="99"/>
      <c r="AN678" s="99"/>
      <c r="AO678" s="99"/>
      <c r="AP678" s="99"/>
      <c r="AQ678" s="99"/>
    </row>
    <row r="679" spans="1:43" ht="15.75" customHeight="1">
      <c r="A679" s="99"/>
      <c r="B679" s="99"/>
      <c r="C679" s="261"/>
      <c r="D679" s="232"/>
      <c r="E679" s="221"/>
      <c r="F679" s="99"/>
      <c r="G679" s="99"/>
      <c r="H679" s="222"/>
      <c r="I679" s="99"/>
      <c r="J679" s="35"/>
      <c r="K679" s="35"/>
      <c r="L679" s="35"/>
      <c r="M679" s="99"/>
      <c r="N679" s="99"/>
      <c r="O679" s="99"/>
      <c r="P679" s="223"/>
      <c r="Q679" s="224"/>
      <c r="R679" s="99"/>
      <c r="S679" s="99"/>
      <c r="T679" s="157"/>
      <c r="U679" s="158"/>
      <c r="V679" s="158"/>
      <c r="W679" s="110"/>
      <c r="X679" s="110"/>
      <c r="Y679" s="197"/>
      <c r="Z679" s="197"/>
      <c r="AA679" s="197"/>
      <c r="AB679" s="225"/>
      <c r="AC679" s="99"/>
      <c r="AD679" s="226"/>
      <c r="AE679" s="99"/>
      <c r="AF679" s="99"/>
      <c r="AG679" s="99"/>
      <c r="AH679" s="99"/>
      <c r="AI679" s="99"/>
      <c r="AJ679" s="99"/>
      <c r="AK679" s="99"/>
      <c r="AL679" s="99"/>
      <c r="AM679" s="99"/>
      <c r="AN679" s="99"/>
      <c r="AO679" s="99"/>
      <c r="AP679" s="99"/>
      <c r="AQ679" s="99"/>
    </row>
    <row r="680" spans="1:43" ht="15.75" customHeight="1">
      <c r="A680" s="99"/>
      <c r="B680" s="99"/>
      <c r="C680" s="261"/>
      <c r="D680" s="232"/>
      <c r="E680" s="221"/>
      <c r="F680" s="99"/>
      <c r="G680" s="99"/>
      <c r="H680" s="222"/>
      <c r="I680" s="99"/>
      <c r="J680" s="35"/>
      <c r="K680" s="35"/>
      <c r="L680" s="35"/>
      <c r="M680" s="99"/>
      <c r="N680" s="99"/>
      <c r="O680" s="99"/>
      <c r="P680" s="223"/>
      <c r="Q680" s="224"/>
      <c r="R680" s="99"/>
      <c r="S680" s="99"/>
      <c r="T680" s="157"/>
      <c r="U680" s="158"/>
      <c r="V680" s="158"/>
      <c r="W680" s="110"/>
      <c r="X680" s="110"/>
      <c r="Y680" s="197"/>
      <c r="Z680" s="197"/>
      <c r="AA680" s="197"/>
      <c r="AB680" s="225"/>
      <c r="AC680" s="99"/>
      <c r="AD680" s="226"/>
      <c r="AE680" s="99"/>
      <c r="AF680" s="99"/>
      <c r="AG680" s="99"/>
      <c r="AH680" s="99"/>
      <c r="AI680" s="99"/>
      <c r="AJ680" s="99"/>
      <c r="AK680" s="99"/>
      <c r="AL680" s="99"/>
      <c r="AM680" s="99"/>
      <c r="AN680" s="99"/>
      <c r="AO680" s="99"/>
      <c r="AP680" s="99"/>
      <c r="AQ680" s="99"/>
    </row>
  </sheetData>
  <sortState xmlns:xlrd2="http://schemas.microsoft.com/office/spreadsheetml/2017/richdata2" ref="A2:AD680">
    <sortCondition ref="A1:A680"/>
  </sortState>
  <customSheetViews>
    <customSheetView guid="{CDB312C8-EF45-44D8-B316-E4A590B5DAF9}" filter="1" showAutoFilter="1">
      <pageMargins left="0.7" right="0.7" top="0.75" bottom="0.75" header="0.3" footer="0.3"/>
      <autoFilter ref="A1:AC678" xr:uid="{786A3EFE-EEF8-D44D-B1F9-A24E0914AE6E}"/>
    </customSheetView>
  </customSheetViews>
  <hyperlinks>
    <hyperlink ref="C2" r:id="rId1" location="MG-1677-09_212" xr:uid="{00000000-0004-0000-0000-000000000000}"/>
    <hyperlink ref="F2" r:id="rId2" xr:uid="{00000000-0004-0000-0000-000001000000}"/>
    <hyperlink ref="F3" r:id="rId3" xr:uid="{00000000-0004-0000-0000-000002000000}"/>
    <hyperlink ref="D4" r:id="rId4" location="MG-1677-09_064" xr:uid="{00000000-0004-0000-0000-000003000000}"/>
    <hyperlink ref="F4" r:id="rId5" xr:uid="{00000000-0004-0000-0000-000004000000}"/>
    <hyperlink ref="V4" r:id="rId6" xr:uid="{00000000-0004-0000-0000-000005000000}"/>
    <hyperlink ref="AB4" r:id="rId7" xr:uid="{00000000-0004-0000-0000-000006000000}"/>
    <hyperlink ref="AD4" r:id="rId8" location="v=onepage&amp;q=ob%C3%A9lisque&amp;f=false" xr:uid="{00000000-0004-0000-0000-000007000000}"/>
    <hyperlink ref="C5" r:id="rId9" location="MG-1678-01_144" xr:uid="{00000000-0004-0000-0000-000008000000}"/>
    <hyperlink ref="F5" r:id="rId10" xr:uid="{00000000-0004-0000-0000-000009000000}"/>
    <hyperlink ref="V5" r:id="rId11" xr:uid="{00000000-0004-0000-0000-00000A000000}"/>
    <hyperlink ref="C6" r:id="rId12" location="MG-1678-01_246" xr:uid="{00000000-0004-0000-0000-00000B000000}"/>
    <hyperlink ref="D6" r:id="rId13" location="MG-1678-02_322" xr:uid="{00000000-0004-0000-0000-00000C000000}"/>
    <hyperlink ref="F6" r:id="rId14" xr:uid="{00000000-0004-0000-0000-00000D000000}"/>
    <hyperlink ref="F7" r:id="rId15" xr:uid="{00000000-0004-0000-0000-00000E000000}"/>
    <hyperlink ref="C8" r:id="rId16" location="MG-1678-02_073" xr:uid="{00000000-0004-0000-0000-00000F000000}"/>
    <hyperlink ref="F8" r:id="rId17" xr:uid="{00000000-0004-0000-0000-000010000000}"/>
    <hyperlink ref="C10" r:id="rId18" location="MG-1678-02_328" xr:uid="{00000000-0004-0000-0000-000011000000}"/>
    <hyperlink ref="D10" r:id="rId19" location="MG-1678-03_371" xr:uid="{00000000-0004-0000-0000-000012000000}"/>
    <hyperlink ref="F10" r:id="rId20" xr:uid="{00000000-0004-0000-0000-000013000000}"/>
    <hyperlink ref="C9" r:id="rId21" location="MG-1678-02_269" xr:uid="{00000000-0004-0000-0000-000014000000}"/>
    <hyperlink ref="F9" r:id="rId22" xr:uid="{00000000-0004-0000-0000-000015000000}"/>
    <hyperlink ref="F11" r:id="rId23" xr:uid="{00000000-0004-0000-0000-000016000000}"/>
    <hyperlink ref="J11" r:id="rId24" xr:uid="{00000000-0004-0000-0000-000017000000}"/>
    <hyperlink ref="AB11" r:id="rId25" xr:uid="{00000000-0004-0000-0000-000018000000}"/>
    <hyperlink ref="F12" r:id="rId26" xr:uid="{00000000-0004-0000-0000-000019000000}"/>
    <hyperlink ref="J12" r:id="rId27" xr:uid="{00000000-0004-0000-0000-00001A000000}"/>
    <hyperlink ref="F13" r:id="rId28" xr:uid="{00000000-0004-0000-0000-00001B000000}"/>
    <hyperlink ref="AB13" r:id="rId29" xr:uid="{00000000-0004-0000-0000-00001C000000}"/>
    <hyperlink ref="C14" r:id="rId30" location="MG-1678-03_377" xr:uid="{00000000-0004-0000-0000-00001D000000}"/>
    <hyperlink ref="F14" r:id="rId31" xr:uid="{00000000-0004-0000-0000-00001E000000}"/>
    <hyperlink ref="X14" r:id="rId32" xr:uid="{00000000-0004-0000-0000-00001F000000}"/>
    <hyperlink ref="D16" r:id="rId33" location="MG-1678-03_000b" xr:uid="{00000000-0004-0000-0000-000020000000}"/>
    <hyperlink ref="V16" r:id="rId34" xr:uid="{00000000-0004-0000-0000-000021000000}"/>
    <hyperlink ref="D17" r:id="rId35" location="MG-1678-03_000b" xr:uid="{00000000-0004-0000-0000-000022000000}"/>
    <hyperlink ref="V17" r:id="rId36" xr:uid="{00000000-0004-0000-0000-000023000000}"/>
    <hyperlink ref="AB17" r:id="rId37" xr:uid="{00000000-0004-0000-0000-000024000000}"/>
    <hyperlink ref="D18" r:id="rId38" location="MG-1678-03_000b" xr:uid="{00000000-0004-0000-0000-000025000000}"/>
    <hyperlink ref="F18" r:id="rId39" xr:uid="{00000000-0004-0000-0000-000026000000}"/>
    <hyperlink ref="V18" r:id="rId40" xr:uid="{00000000-0004-0000-0000-000027000000}"/>
    <hyperlink ref="AB18" r:id="rId41" xr:uid="{00000000-0004-0000-0000-000028000000}"/>
    <hyperlink ref="D19" r:id="rId42" location="MG-1678-03_000b" xr:uid="{00000000-0004-0000-0000-000029000000}"/>
    <hyperlink ref="V19" r:id="rId43" xr:uid="{00000000-0004-0000-0000-00002A000000}"/>
    <hyperlink ref="D20" r:id="rId44" location="MG-1678-03_000b" xr:uid="{00000000-0004-0000-0000-00002B000000}"/>
    <hyperlink ref="V20" r:id="rId45" xr:uid="{00000000-0004-0000-0000-00002C000000}"/>
    <hyperlink ref="D21" r:id="rId46" location="MG-1678-03_000b" xr:uid="{00000000-0004-0000-0000-00002D000000}"/>
    <hyperlink ref="F21" r:id="rId47" xr:uid="{00000000-0004-0000-0000-00002E000000}"/>
    <hyperlink ref="V21" r:id="rId48" xr:uid="{00000000-0004-0000-0000-00002F000000}"/>
    <hyperlink ref="AC21" r:id="rId49" xr:uid="{00000000-0004-0000-0000-000030000000}"/>
    <hyperlink ref="F22" r:id="rId50" xr:uid="{00000000-0004-0000-0000-000031000000}"/>
    <hyperlink ref="AB22" r:id="rId51" xr:uid="{00000000-0004-0000-0000-000032000000}"/>
    <hyperlink ref="F23" r:id="rId52" xr:uid="{00000000-0004-0000-0000-000033000000}"/>
    <hyperlink ref="AB23" r:id="rId53" xr:uid="{00000000-0004-0000-0000-000034000000}"/>
    <hyperlink ref="C24" r:id="rId54" location="MG-1678-04_306" xr:uid="{00000000-0004-0000-0000-000035000000}"/>
    <hyperlink ref="F24" r:id="rId55" xr:uid="{00000000-0004-0000-0000-000036000000}"/>
    <hyperlink ref="C25" r:id="rId56" location="MG-1678-04_306" xr:uid="{00000000-0004-0000-0000-000037000000}"/>
    <hyperlink ref="F25" r:id="rId57" xr:uid="{00000000-0004-0000-0000-000038000000}"/>
    <hyperlink ref="D39" r:id="rId58" location="MG-1678-03_000b" xr:uid="{00000000-0004-0000-0000-000039000000}"/>
    <hyperlink ref="D40" r:id="rId59" location="MG-1678-03_000b" xr:uid="{00000000-0004-0000-0000-00003A000000}"/>
    <hyperlink ref="C26" r:id="rId60" location="MG-1678-04_414" xr:uid="{00000000-0004-0000-0000-00003B000000}"/>
    <hyperlink ref="D26" r:id="rId61" location="MG-1678-05_358" xr:uid="{00000000-0004-0000-0000-00003C000000}"/>
    <hyperlink ref="F26" r:id="rId62" xr:uid="{00000000-0004-0000-0000-00003D000000}"/>
    <hyperlink ref="X26" r:id="rId63" xr:uid="{00000000-0004-0000-0000-00003E000000}"/>
    <hyperlink ref="C27" r:id="rId64" location="MG-1678-05_128" xr:uid="{00000000-0004-0000-0000-00003F000000}"/>
    <hyperlink ref="F27" r:id="rId65" xr:uid="{00000000-0004-0000-0000-000040000000}"/>
    <hyperlink ref="V27" r:id="rId66" xr:uid="{00000000-0004-0000-0000-000041000000}"/>
    <hyperlink ref="C28" r:id="rId67" location="MG-1678-05_128" xr:uid="{00000000-0004-0000-0000-000042000000}"/>
    <hyperlink ref="F28" r:id="rId68" xr:uid="{00000000-0004-0000-0000-000043000000}"/>
    <hyperlink ref="L28" r:id="rId69" xr:uid="{00000000-0004-0000-0000-000044000000}"/>
    <hyperlink ref="V28" r:id="rId70" xr:uid="{00000000-0004-0000-0000-000045000000}"/>
    <hyperlink ref="F29" r:id="rId71" xr:uid="{00000000-0004-0000-0000-000046000000}"/>
    <hyperlink ref="J29" r:id="rId72" xr:uid="{00000000-0004-0000-0000-000047000000}"/>
    <hyperlink ref="AB29" r:id="rId73" xr:uid="{00000000-0004-0000-0000-000048000000}"/>
    <hyperlink ref="C30" r:id="rId74" location="MG-1678-05_358" xr:uid="{00000000-0004-0000-0000-000049000000}"/>
    <hyperlink ref="F30" r:id="rId75" xr:uid="{00000000-0004-0000-0000-00004A000000}"/>
    <hyperlink ref="X30" r:id="rId76" xr:uid="{00000000-0004-0000-0000-00004B000000}"/>
    <hyperlink ref="F31" r:id="rId77" xr:uid="{00000000-0004-0000-0000-00004C000000}"/>
    <hyperlink ref="D32" r:id="rId78" location="MG-1678-05_128" xr:uid="{00000000-0004-0000-0000-00004D000000}"/>
    <hyperlink ref="F32" r:id="rId79" xr:uid="{00000000-0004-0000-0000-00004E000000}"/>
    <hyperlink ref="L32" r:id="rId80" xr:uid="{00000000-0004-0000-0000-00004F000000}"/>
    <hyperlink ref="V32" r:id="rId81" xr:uid="{00000000-0004-0000-0000-000050000000}"/>
    <hyperlink ref="D33" r:id="rId82" location="MG-1678-05_128" xr:uid="{00000000-0004-0000-0000-000051000000}"/>
    <hyperlink ref="F33" r:id="rId83" xr:uid="{00000000-0004-0000-0000-000052000000}"/>
    <hyperlink ref="L33" r:id="rId84" xr:uid="{00000000-0004-0000-0000-000053000000}"/>
    <hyperlink ref="V33" r:id="rId85" xr:uid="{00000000-0004-0000-0000-000054000000}"/>
    <hyperlink ref="F34" r:id="rId86" xr:uid="{00000000-0004-0000-0000-000055000000}"/>
    <hyperlink ref="C35" r:id="rId87" location="MG-1678-06_338" xr:uid="{00000000-0004-0000-0000-000056000000}"/>
    <hyperlink ref="D35" r:id="rId88" location="MG-1678-07_367" xr:uid="{00000000-0004-0000-0000-000057000000}"/>
    <hyperlink ref="F35" r:id="rId89" xr:uid="{00000000-0004-0000-0000-000058000000}"/>
    <hyperlink ref="C36" r:id="rId90" location="MG-1678-06e_043" xr:uid="{00000000-0004-0000-0000-000059000000}"/>
    <hyperlink ref="C37" r:id="rId91" location="MG-1678-06e_043" xr:uid="{00000000-0004-0000-0000-00005A000000}"/>
    <hyperlink ref="C41" r:id="rId92" location="MG-1678-07_075" xr:uid="{00000000-0004-0000-0000-00005B000000}"/>
    <hyperlink ref="F41" r:id="rId93" xr:uid="{00000000-0004-0000-0000-00005C000000}"/>
    <hyperlink ref="F42" r:id="rId94" xr:uid="{00000000-0004-0000-0000-00005D000000}"/>
    <hyperlink ref="AB42" r:id="rId95" xr:uid="{00000000-0004-0000-0000-00005E000000}"/>
    <hyperlink ref="F43" r:id="rId96" xr:uid="{00000000-0004-0000-0000-00005F000000}"/>
    <hyperlink ref="X43" r:id="rId97" xr:uid="{00000000-0004-0000-0000-000060000000}"/>
    <hyperlink ref="C44" r:id="rId98" location="MG-1678-07_373" xr:uid="{00000000-0004-0000-0000-000061000000}"/>
    <hyperlink ref="F44" r:id="rId99" xr:uid="{00000000-0004-0000-0000-000062000000}"/>
    <hyperlink ref="F45" r:id="rId100" xr:uid="{00000000-0004-0000-0000-000063000000}"/>
    <hyperlink ref="F46" r:id="rId101" xr:uid="{00000000-0004-0000-0000-000064000000}"/>
    <hyperlink ref="X46" r:id="rId102" xr:uid="{00000000-0004-0000-0000-000065000000}"/>
    <hyperlink ref="F47" r:id="rId103" xr:uid="{00000000-0004-0000-0000-000066000000}"/>
    <hyperlink ref="F48" r:id="rId104" xr:uid="{00000000-0004-0000-0000-000067000000}"/>
    <hyperlink ref="C49" r:id="rId105" location="MG-1678-09_179" xr:uid="{00000000-0004-0000-0000-000068000000}"/>
    <hyperlink ref="F49" r:id="rId106" xr:uid="{00000000-0004-0000-0000-000069000000}"/>
    <hyperlink ref="V49" r:id="rId107" xr:uid="{00000000-0004-0000-0000-00006A000000}"/>
    <hyperlink ref="F50" r:id="rId108" xr:uid="{00000000-0004-0000-0000-00006B000000}"/>
    <hyperlink ref="D51" r:id="rId109" location="MG-1678-10_351" xr:uid="{00000000-0004-0000-0000-00006C000000}"/>
    <hyperlink ref="F51" r:id="rId110" xr:uid="{00000000-0004-0000-0000-00006D000000}"/>
    <hyperlink ref="C52" r:id="rId111" location="MG-1678-09e_122" xr:uid="{00000000-0004-0000-0000-00006E000000}"/>
    <hyperlink ref="D52" r:id="rId112" location="MG-1678-09e_390" xr:uid="{00000000-0004-0000-0000-00006F000000}"/>
    <hyperlink ref="F52" r:id="rId113" xr:uid="{00000000-0004-0000-0000-000070000000}"/>
    <hyperlink ref="AB52" r:id="rId114" xr:uid="{00000000-0004-0000-0000-000071000000}"/>
    <hyperlink ref="AC52" r:id="rId115" xr:uid="{00000000-0004-0000-0000-000072000000}"/>
    <hyperlink ref="C53" r:id="rId116" location="MG-1678-09e_280" xr:uid="{00000000-0004-0000-0000-000073000000}"/>
    <hyperlink ref="F53" r:id="rId117" xr:uid="{00000000-0004-0000-0000-000074000000}"/>
    <hyperlink ref="C54" r:id="rId118" location="MG-1678-09e_390" xr:uid="{00000000-0004-0000-0000-000075000000}"/>
    <hyperlink ref="F54" r:id="rId119" xr:uid="{00000000-0004-0000-0000-000076000000}"/>
    <hyperlink ref="X54" r:id="rId120" xr:uid="{00000000-0004-0000-0000-000077000000}"/>
    <hyperlink ref="F55" r:id="rId121" xr:uid="{00000000-0004-0000-0000-000078000000}"/>
    <hyperlink ref="F56" r:id="rId122" xr:uid="{00000000-0004-0000-0000-000079000000}"/>
    <hyperlink ref="AB56" r:id="rId123" xr:uid="{00000000-0004-0000-0000-00007A000000}"/>
    <hyperlink ref="AC56" r:id="rId124" xr:uid="{00000000-0004-0000-0000-00007B000000}"/>
    <hyperlink ref="C57" r:id="rId125" location="MG-1678-10_351" xr:uid="{00000000-0004-0000-0000-00007C000000}"/>
    <hyperlink ref="F57" r:id="rId126" xr:uid="{00000000-0004-0000-0000-00007D000000}"/>
    <hyperlink ref="D58" r:id="rId127" location="MG-1678-03_000b" xr:uid="{00000000-0004-0000-0000-00007E000000}"/>
    <hyperlink ref="F58" r:id="rId128" xr:uid="{00000000-0004-0000-0000-00007F000000}"/>
    <hyperlink ref="AB58" r:id="rId129" xr:uid="{00000000-0004-0000-0000-000080000000}"/>
    <hyperlink ref="D59" r:id="rId130" location="MG-1678-03_000b" xr:uid="{00000000-0004-0000-0000-000081000000}"/>
    <hyperlink ref="F59" r:id="rId131" xr:uid="{00000000-0004-0000-0000-000082000000}"/>
    <hyperlink ref="C60" r:id="rId132" location="MG-1678-11_001" xr:uid="{00000000-0004-0000-0000-000083000000}"/>
    <hyperlink ref="F60" r:id="rId133" xr:uid="{00000000-0004-0000-0000-000084000000}"/>
    <hyperlink ref="C62" r:id="rId134" location="MG-1678-11_322" xr:uid="{00000000-0004-0000-0000-000086000000}"/>
    <hyperlink ref="F62" r:id="rId135" xr:uid="{00000000-0004-0000-0000-000087000000}"/>
    <hyperlink ref="D63" r:id="rId136" location="MG-1678-12_291" xr:uid="{00000000-0004-0000-0000-000088000000}"/>
    <hyperlink ref="F63" r:id="rId137" xr:uid="{00000000-0004-0000-0000-000089000000}"/>
    <hyperlink ref="F64" r:id="rId138" xr:uid="{00000000-0004-0000-0000-00008A000000}"/>
    <hyperlink ref="F65" r:id="rId139" xr:uid="{00000000-0004-0000-0000-00008B000000}"/>
    <hyperlink ref="C66" r:id="rId140" location="MG-1678-12_291" xr:uid="{00000000-0004-0000-0000-00008C000000}"/>
    <hyperlink ref="D66" r:id="rId141" location="MG-1679-01_328" xr:uid="{00000000-0004-0000-0000-00008D000000}"/>
    <hyperlink ref="F66" r:id="rId142" xr:uid="{00000000-0004-0000-0000-00008E000000}"/>
    <hyperlink ref="D67" r:id="rId143" location="MG-1679-01_000b" xr:uid="{00000000-0004-0000-0000-00008F000000}"/>
    <hyperlink ref="F67" r:id="rId144" xr:uid="{00000000-0004-0000-0000-000090000000}"/>
    <hyperlink ref="F68" r:id="rId145" xr:uid="{00000000-0004-0000-0000-000091000000}"/>
    <hyperlink ref="AB68" r:id="rId146" xr:uid="{00000000-0004-0000-0000-000092000000}"/>
    <hyperlink ref="F69" r:id="rId147" xr:uid="{00000000-0004-0000-0000-000093000000}"/>
    <hyperlink ref="AB69" r:id="rId148" xr:uid="{00000000-0004-0000-0000-000094000000}"/>
    <hyperlink ref="AC69" r:id="rId149" xr:uid="{00000000-0004-0000-0000-000095000000}"/>
    <hyperlink ref="C70" r:id="rId150" location="MG-1679-01_013" xr:uid="{00000000-0004-0000-0000-000096000000}"/>
    <hyperlink ref="F70" r:id="rId151" xr:uid="{00000000-0004-0000-0000-000097000000}"/>
    <hyperlink ref="F71" r:id="rId152" xr:uid="{00000000-0004-0000-0000-000098000000}"/>
    <hyperlink ref="C72" r:id="rId153" location="MG-1679-01_327" xr:uid="{00000000-0004-0000-0000-000099000000}"/>
    <hyperlink ref="F72" r:id="rId154" xr:uid="{00000000-0004-0000-0000-00009A000000}"/>
    <hyperlink ref="F73" r:id="rId155" xr:uid="{00000000-0004-0000-0000-00009B000000}"/>
    <hyperlink ref="C74" r:id="rId156" location="MG-1679-02_219" xr:uid="{00000000-0004-0000-0000-00009C000000}"/>
    <hyperlink ref="F74" r:id="rId157" xr:uid="{00000000-0004-0000-0000-00009D000000}"/>
    <hyperlink ref="F75" r:id="rId158" xr:uid="{00000000-0004-0000-0000-00009E000000}"/>
    <hyperlink ref="C76" r:id="rId159" location="MG-1679-03_124" xr:uid="{00000000-0004-0000-0000-00009F000000}"/>
    <hyperlink ref="F76" r:id="rId160" xr:uid="{00000000-0004-0000-0000-0000A0000000}"/>
    <hyperlink ref="F77" r:id="rId161" xr:uid="{00000000-0004-0000-0000-0000A1000000}"/>
    <hyperlink ref="F78" r:id="rId162" xr:uid="{00000000-0004-0000-0000-0000A2000000}"/>
    <hyperlink ref="F79" r:id="rId163" xr:uid="{00000000-0004-0000-0000-0000A3000000}"/>
    <hyperlink ref="D80" r:id="rId164" location="MG-1679-01_000b" xr:uid="{00000000-0004-0000-0000-0000A4000000}"/>
    <hyperlink ref="F80" r:id="rId165" xr:uid="{00000000-0004-0000-0000-0000A5000000}"/>
    <hyperlink ref="D81" r:id="rId166" location="MG-1679-01_000b" xr:uid="{00000000-0004-0000-0000-0000A6000000}"/>
    <hyperlink ref="F81" r:id="rId167" xr:uid="{00000000-0004-0000-0000-0000A7000000}"/>
    <hyperlink ref="F83" r:id="rId168" xr:uid="{00000000-0004-0000-0000-0000A9000000}"/>
    <hyperlink ref="C84" r:id="rId169" location="MG-1679-04_248" xr:uid="{00000000-0004-0000-0000-0000AA000000}"/>
    <hyperlink ref="F84" r:id="rId170" xr:uid="{00000000-0004-0000-0000-0000AB000000}"/>
    <hyperlink ref="F85" r:id="rId171" xr:uid="{00000000-0004-0000-0000-0000AC000000}"/>
    <hyperlink ref="C86" r:id="rId172" location="MG-1679-05_001" xr:uid="{00000000-0004-0000-0000-0000AD000000}"/>
    <hyperlink ref="F86" r:id="rId173" xr:uid="{00000000-0004-0000-0000-0000AE000000}"/>
    <hyperlink ref="F87" r:id="rId174" xr:uid="{00000000-0004-0000-0000-0000AF000000}"/>
    <hyperlink ref="D88" r:id="rId175" location="MG-1679-06_326a" xr:uid="{00000000-0004-0000-0000-0000B0000000}"/>
    <hyperlink ref="F88" r:id="rId176" xr:uid="{00000000-0004-0000-0000-0000B1000000}"/>
    <hyperlink ref="F89" r:id="rId177" xr:uid="{00000000-0004-0000-0000-0000B2000000}"/>
    <hyperlink ref="F90" r:id="rId178" xr:uid="{00000000-0004-0000-0000-0000B3000000}"/>
    <hyperlink ref="C91" r:id="rId179" location="MG-1679-06_326a" xr:uid="{00000000-0004-0000-0000-0000B4000000}"/>
    <hyperlink ref="D91" r:id="rId180" location="MG-1679-07_363" xr:uid="{00000000-0004-0000-0000-0000B5000000}"/>
    <hyperlink ref="F91" r:id="rId181" xr:uid="{00000000-0004-0000-0000-0000B6000000}"/>
    <hyperlink ref="F92" r:id="rId182" xr:uid="{00000000-0004-0000-0000-0000B7000000}"/>
    <hyperlink ref="F93" r:id="rId183" xr:uid="{00000000-0004-0000-0000-0000B8000000}"/>
    <hyperlink ref="C94" r:id="rId184" location="MG-1679-07_159" xr:uid="{00000000-0004-0000-0000-0000B9000000}"/>
    <hyperlink ref="F94" r:id="rId185" xr:uid="{00000000-0004-0000-0000-0000BA000000}"/>
    <hyperlink ref="F95" r:id="rId186" xr:uid="{00000000-0004-0000-0000-0000BB000000}"/>
    <hyperlink ref="C96" r:id="rId187" location="MG-1679-07_363" xr:uid="{00000000-0004-0000-0000-0000BC000000}"/>
    <hyperlink ref="F96" r:id="rId188" xr:uid="{00000000-0004-0000-0000-0000BD000000}"/>
    <hyperlink ref="C97" r:id="rId189" location="MG-1679-08_146" xr:uid="{00000000-0004-0000-0000-0000BE000000}"/>
    <hyperlink ref="F97" r:id="rId190" xr:uid="{00000000-0004-0000-0000-0000BF000000}"/>
    <hyperlink ref="F98" r:id="rId191" xr:uid="{00000000-0004-0000-0000-0000C0000000}"/>
    <hyperlink ref="D99" r:id="rId192" location="MG-1679-09_364b" xr:uid="{00000000-0004-0000-0000-0000C1000000}"/>
    <hyperlink ref="F99" r:id="rId193" xr:uid="{00000000-0004-0000-0000-0000C2000000}"/>
    <hyperlink ref="C100" r:id="rId194" location="MG-1679-09_055" xr:uid="{00000000-0004-0000-0000-0000C3000000}"/>
    <hyperlink ref="F100" r:id="rId195" xr:uid="{00000000-0004-0000-0000-0000C4000000}"/>
    <hyperlink ref="X100" r:id="rId196" xr:uid="{00000000-0004-0000-0000-0000C5000000}"/>
    <hyperlink ref="AB100" r:id="rId197" xr:uid="{00000000-0004-0000-0000-0000C6000000}"/>
    <hyperlink ref="F101" r:id="rId198" xr:uid="{00000000-0004-0000-0000-0000C7000000}"/>
    <hyperlink ref="C102" r:id="rId199" location="MG-1679-09_364b" xr:uid="{00000000-0004-0000-0000-0000C8000000}"/>
    <hyperlink ref="F102" r:id="rId200" xr:uid="{00000000-0004-0000-0000-0000C9000000}"/>
    <hyperlink ref="C104" r:id="rId201" location="MG-1679-09e_325" xr:uid="{00000000-0004-0000-0000-0000CA000000}"/>
    <hyperlink ref="F105" r:id="rId202" xr:uid="{00000000-0004-0000-0000-0000CB000000}"/>
    <hyperlink ref="F106" r:id="rId203" xr:uid="{00000000-0004-0000-0000-0000CC000000}"/>
    <hyperlink ref="C107" r:id="rId204" location="MG-1679-10b_043" xr:uid="{00000000-0004-0000-0000-0000CD000000}"/>
    <hyperlink ref="F107" r:id="rId205" xr:uid="{00000000-0004-0000-0000-0000CE000000}"/>
    <hyperlink ref="V107" r:id="rId206" xr:uid="{00000000-0004-0000-0000-0000CF000000}"/>
    <hyperlink ref="C108" r:id="rId207" location="MG-1679-10b_043" xr:uid="{00000000-0004-0000-0000-0000D0000000}"/>
    <hyperlink ref="F108" r:id="rId208" xr:uid="{00000000-0004-0000-0000-0000D1000000}"/>
    <hyperlink ref="F109" r:id="rId209" xr:uid="{00000000-0004-0000-0000-0000D2000000}"/>
    <hyperlink ref="F110" r:id="rId210" xr:uid="{00000000-0004-0000-0000-0000D3000000}"/>
    <hyperlink ref="C111" r:id="rId211" location="MG-1679-11_174" xr:uid="{00000000-0004-0000-0000-0000D4000000}"/>
    <hyperlink ref="F111" r:id="rId212" xr:uid="{00000000-0004-0000-0000-0000D5000000}"/>
    <hyperlink ref="C112" r:id="rId213" location="MG-1679-11_350" xr:uid="{00000000-0004-0000-0000-0000D6000000}"/>
    <hyperlink ref="F112" r:id="rId214" xr:uid="{00000000-0004-0000-0000-0000D7000000}"/>
    <hyperlink ref="F113" r:id="rId215" xr:uid="{00000000-0004-0000-0000-0000D8000000}"/>
    <hyperlink ref="F114" r:id="rId216" xr:uid="{00000000-0004-0000-0000-0000D9000000}"/>
    <hyperlink ref="F115" r:id="rId217" xr:uid="{00000000-0004-0000-0000-0000DA000000}"/>
    <hyperlink ref="F116" r:id="rId218" xr:uid="{00000000-0004-0000-0000-0000DB000000}"/>
    <hyperlink ref="F117" r:id="rId219" xr:uid="{00000000-0004-0000-0000-0000DC000000}"/>
    <hyperlink ref="F118" r:id="rId220" xr:uid="{00000000-0004-0000-0000-0000DD000000}"/>
    <hyperlink ref="C119" r:id="rId221" location="MG-1680-01a_245" xr:uid="{00000000-0004-0000-0000-0000DE000000}"/>
    <hyperlink ref="F119" r:id="rId222" xr:uid="{00000000-0004-0000-0000-0000DF000000}"/>
    <hyperlink ref="X119" r:id="rId223" xr:uid="{00000000-0004-0000-0000-0000E0000000}"/>
    <hyperlink ref="F120" r:id="rId224" xr:uid="{00000000-0004-0000-0000-0000E1000000}"/>
    <hyperlink ref="F121" r:id="rId225" xr:uid="{00000000-0004-0000-0000-0000E2000000}"/>
    <hyperlink ref="F122" r:id="rId226" xr:uid="{00000000-0004-0000-0000-0000E4000000}"/>
    <hyperlink ref="V122" r:id="rId227" xr:uid="{00000000-0004-0000-0000-0000E5000000}"/>
    <hyperlink ref="AB122" r:id="rId228" location="infos-principales" xr:uid="{00000000-0004-0000-0000-0000E6000000}"/>
    <hyperlink ref="AC122" r:id="rId229" xr:uid="{00000000-0004-0000-0000-0000E7000000}"/>
    <hyperlink ref="C123" r:id="rId230" location="MG-1680-02_124" xr:uid="{00000000-0004-0000-0000-0000E8000000}"/>
    <hyperlink ref="F123" r:id="rId231" xr:uid="{00000000-0004-0000-0000-0000E9000000}"/>
    <hyperlink ref="F124" r:id="rId232" xr:uid="{00000000-0004-0000-0000-0000EA000000}"/>
    <hyperlink ref="D125" r:id="rId233" location="MG-1682-02_295" xr:uid="{00000000-0004-0000-0000-0000EB000000}"/>
    <hyperlink ref="F125" r:id="rId234" xr:uid="{00000000-0004-0000-0000-0000EC000000}"/>
    <hyperlink ref="V125" r:id="rId235" xr:uid="{00000000-0004-0000-0000-0000ED000000}"/>
    <hyperlink ref="X125" r:id="rId236" xr:uid="{00000000-0004-0000-0000-0000EE000000}"/>
    <hyperlink ref="C129" r:id="rId237" location="MG-1680-03b_025" xr:uid="{00000000-0004-0000-0000-0000EF000000}"/>
    <hyperlink ref="F129" r:id="rId238" xr:uid="{00000000-0004-0000-0000-0000F0000000}"/>
    <hyperlink ref="C130" r:id="rId239" location="MG-1680-03b_088" xr:uid="{00000000-0004-0000-0000-0000F1000000}"/>
    <hyperlink ref="F130" r:id="rId240" xr:uid="{00000000-0004-0000-0000-0000F2000000}"/>
    <hyperlink ref="F131" r:id="rId241" xr:uid="{00000000-0004-0000-0000-0000F3000000}"/>
    <hyperlink ref="V131" r:id="rId242" xr:uid="{00000000-0004-0000-0000-0000F4000000}"/>
    <hyperlink ref="X131" r:id="rId243" xr:uid="{00000000-0004-0000-0000-0000F5000000}"/>
    <hyperlink ref="F132" r:id="rId244" xr:uid="{00000000-0004-0000-0000-0000F6000000}"/>
    <hyperlink ref="F133" r:id="rId245" xr:uid="{00000000-0004-0000-0000-0000F7000000}"/>
    <hyperlink ref="D134" r:id="rId246" location="MG-1680-04_254" xr:uid="{00000000-0004-0000-0000-0000F8000000}"/>
    <hyperlink ref="AB135" r:id="rId247" location="v=onepage&amp;q=civitates%20Tornacensis%20et%20curtracensis&amp;f=false" xr:uid="{00000000-0004-0000-0000-0000F9000000}"/>
    <hyperlink ref="C137" r:id="rId248" location="MG-1680-05_081" xr:uid="{00000000-0004-0000-0000-0000FA000000}"/>
    <hyperlink ref="F137" r:id="rId249" xr:uid="{00000000-0004-0000-0000-0000FB000000}"/>
    <hyperlink ref="AB137" r:id="rId250" xr:uid="{00000000-0004-0000-0000-0000FC000000}"/>
    <hyperlink ref="F138" r:id="rId251" xr:uid="{00000000-0004-0000-0000-0000FD000000}"/>
    <hyperlink ref="C139" r:id="rId252" location="MG-1680-05_295" xr:uid="{00000000-0004-0000-0000-0000FE000000}"/>
    <hyperlink ref="F139" r:id="rId253" xr:uid="{00000000-0004-0000-0000-0000FF000000}"/>
    <hyperlink ref="AB139" r:id="rId254" xr:uid="{00000000-0004-0000-0000-000000010000}"/>
    <hyperlink ref="F140" r:id="rId255" xr:uid="{00000000-0004-0000-0000-000001010000}"/>
    <hyperlink ref="F141" r:id="rId256" xr:uid="{00000000-0004-0000-0000-000002010000}"/>
    <hyperlink ref="V141" r:id="rId257" xr:uid="{00000000-0004-0000-0000-000003010000}"/>
    <hyperlink ref="AB141" r:id="rId258" xr:uid="{00000000-0004-0000-0000-000004010000}"/>
    <hyperlink ref="F142" r:id="rId259" xr:uid="{00000000-0004-0000-0000-000005010000}"/>
    <hyperlink ref="F143" r:id="rId260" xr:uid="{00000000-0004-0000-0000-000006010000}"/>
    <hyperlink ref="F144" r:id="rId261" xr:uid="{00000000-0004-0000-0000-000007010000}"/>
    <hyperlink ref="AC145" r:id="rId262" location="v=onepage&amp;q=Ludovicus%20Magnus%20Rex.%20%20ch%C3%A9ron&amp;f=false" xr:uid="{00000000-0004-0000-0000-000008010000}"/>
    <hyperlink ref="C146" r:id="rId263" location="MG-1680-07_250" xr:uid="{00000000-0004-0000-0000-000009010000}"/>
    <hyperlink ref="V146" r:id="rId264" xr:uid="{00000000-0004-0000-0000-00000A010000}"/>
    <hyperlink ref="AB146" r:id="rId265" location="infos-principales" xr:uid="{00000000-0004-0000-0000-00000B010000}"/>
    <hyperlink ref="V148" r:id="rId266" xr:uid="{00000000-0004-0000-0000-00000C010000}"/>
    <hyperlink ref="AB148" r:id="rId267" location="infos-principales" xr:uid="{00000000-0004-0000-0000-00000D010000}"/>
    <hyperlink ref="V149" r:id="rId268" xr:uid="{00000000-0004-0000-0000-00000E010000}"/>
    <hyperlink ref="AB149" r:id="rId269" xr:uid="{00000000-0004-0000-0000-00000F010000}"/>
    <hyperlink ref="F151" r:id="rId270" xr:uid="{00000000-0004-0000-0000-000010010000}"/>
    <hyperlink ref="F152" r:id="rId271" xr:uid="{00000000-0004-0000-0000-000011010000}"/>
    <hyperlink ref="F153" r:id="rId272" xr:uid="{00000000-0004-0000-0000-000012010000}"/>
    <hyperlink ref="F154" r:id="rId273" xr:uid="{00000000-0004-0000-0000-000013010000}"/>
    <hyperlink ref="F155" r:id="rId274" xr:uid="{00000000-0004-0000-0000-000014010000}"/>
    <hyperlink ref="V155" r:id="rId275" xr:uid="{00000000-0004-0000-0000-000015010000}"/>
    <hyperlink ref="AB155" r:id="rId276" location="infos-principales" xr:uid="{00000000-0004-0000-0000-000016010000}"/>
    <hyperlink ref="AC155" r:id="rId277" xr:uid="{00000000-0004-0000-0000-000017010000}"/>
    <hyperlink ref="F156" r:id="rId278" xr:uid="{00000000-0004-0000-0000-000018010000}"/>
    <hyperlink ref="V156" r:id="rId279" xr:uid="{00000000-0004-0000-0000-000019010000}"/>
    <hyperlink ref="AB156" r:id="rId280" location="infos-principales" xr:uid="{00000000-0004-0000-0000-00001A010000}"/>
    <hyperlink ref="F157" r:id="rId281" xr:uid="{00000000-0004-0000-0000-00001B010000}"/>
    <hyperlink ref="F158" r:id="rId282" xr:uid="{00000000-0004-0000-0000-00001C010000}"/>
    <hyperlink ref="F159" r:id="rId283" xr:uid="{00000000-0004-0000-0000-00001D010000}"/>
    <hyperlink ref="F160" r:id="rId284" xr:uid="{00000000-0004-0000-0000-00001E010000}"/>
    <hyperlink ref="F161" r:id="rId285" xr:uid="{00000000-0004-0000-0000-00001F010000}"/>
    <hyperlink ref="V161" r:id="rId286" xr:uid="{00000000-0004-0000-0000-000020010000}"/>
    <hyperlink ref="AB161" r:id="rId287" location="infos-principales" xr:uid="{00000000-0004-0000-0000-000021010000}"/>
    <hyperlink ref="F162" r:id="rId288" xr:uid="{00000000-0004-0000-0000-000022010000}"/>
    <hyperlink ref="F163" r:id="rId289" xr:uid="{00000000-0004-0000-0000-000023010000}"/>
    <hyperlink ref="F164" r:id="rId290" xr:uid="{00000000-0004-0000-0000-000024010000}"/>
    <hyperlink ref="F165" r:id="rId291" xr:uid="{00000000-0004-0000-0000-000025010000}"/>
    <hyperlink ref="F166" r:id="rId292" xr:uid="{00000000-0004-0000-0000-000026010000}"/>
    <hyperlink ref="V166" r:id="rId293" xr:uid="{00000000-0004-0000-0000-000027010000}"/>
    <hyperlink ref="AB166" r:id="rId294" location="infos-principales" xr:uid="{00000000-0004-0000-0000-000028010000}"/>
    <hyperlink ref="F167" r:id="rId295" xr:uid="{00000000-0004-0000-0000-000029010000}"/>
    <hyperlink ref="F168" r:id="rId296" xr:uid="{00000000-0004-0000-0000-00002A010000}"/>
    <hyperlink ref="V168" r:id="rId297" xr:uid="{00000000-0004-0000-0000-00002B010000}"/>
    <hyperlink ref="AB168" r:id="rId298" location="infos-principales" xr:uid="{00000000-0004-0000-0000-00002C010000}"/>
    <hyperlink ref="C169" r:id="rId299" location="MG-1681-01_76" xr:uid="{00000000-0004-0000-0000-00002D010000}"/>
    <hyperlink ref="F169" r:id="rId300" xr:uid="{00000000-0004-0000-0000-00002E010000}"/>
    <hyperlink ref="F170" r:id="rId301" xr:uid="{00000000-0004-0000-0000-00002F010000}"/>
    <hyperlink ref="F171" r:id="rId302" xr:uid="{00000000-0004-0000-0000-000030010000}"/>
    <hyperlink ref="F172" r:id="rId303" xr:uid="{00000000-0004-0000-0000-000031010000}"/>
    <hyperlink ref="F173" r:id="rId304" xr:uid="{00000000-0004-0000-0000-000032010000}"/>
    <hyperlink ref="V173" r:id="rId305" xr:uid="{00000000-0004-0000-0000-000033010000}"/>
    <hyperlink ref="AB173" r:id="rId306" xr:uid="{00000000-0004-0000-0000-000034010000}"/>
    <hyperlink ref="C174" r:id="rId307" location="MG-1681-02_323" xr:uid="{00000000-0004-0000-0000-000035010000}"/>
    <hyperlink ref="F174" r:id="rId308" xr:uid="{00000000-0004-0000-0000-000036010000}"/>
    <hyperlink ref="C175" r:id="rId309" location="MG-1681-03_63" xr:uid="{00000000-0004-0000-0000-000037010000}"/>
    <hyperlink ref="F175" r:id="rId310" xr:uid="{00000000-0004-0000-0000-000038010000}"/>
    <hyperlink ref="C176" r:id="rId311" location="MG-1681-03_63" xr:uid="{00000000-0004-0000-0000-000039010000}"/>
    <hyperlink ref="F176" r:id="rId312" xr:uid="{00000000-0004-0000-0000-00003A010000}"/>
    <hyperlink ref="C177" r:id="rId313" location="MG-1681-03e_167b" xr:uid="{00000000-0004-0000-0000-00003B010000}"/>
    <hyperlink ref="V177" r:id="rId314" xr:uid="{00000000-0004-0000-0000-00003C010000}"/>
    <hyperlink ref="AB177" r:id="rId315" location="infos-principales" xr:uid="{00000000-0004-0000-0000-00003D010000}"/>
    <hyperlink ref="C178" r:id="rId316" location="MG-1681-03e_296" xr:uid="{00000000-0004-0000-0000-00003E010000}"/>
    <hyperlink ref="V178" r:id="rId317" xr:uid="{00000000-0004-0000-0000-00003F010000}"/>
    <hyperlink ref="AB178" r:id="rId318" location="infos-principales" xr:uid="{00000000-0004-0000-0000-000040010000}"/>
    <hyperlink ref="F179" r:id="rId319" xr:uid="{00000000-0004-0000-0000-000041010000}"/>
    <hyperlink ref="X179" r:id="rId320" xr:uid="{00000000-0004-0000-0000-000042010000}"/>
    <hyperlink ref="C180" r:id="rId321" location="MG-1681-04_304" xr:uid="{00000000-0004-0000-0000-000043010000}"/>
    <hyperlink ref="F180" r:id="rId322" xr:uid="{00000000-0004-0000-0000-000044010000}"/>
    <hyperlink ref="F181" r:id="rId323" xr:uid="{00000000-0004-0000-0000-000045010000}"/>
    <hyperlink ref="V181" r:id="rId324" xr:uid="{00000000-0004-0000-0000-000046010000}"/>
    <hyperlink ref="AB181" r:id="rId325" xr:uid="{00000000-0004-0000-0000-000047010000}"/>
    <hyperlink ref="F182" r:id="rId326" xr:uid="{00000000-0004-0000-0000-000048010000}"/>
    <hyperlink ref="C183" r:id="rId327" location="MG-1681-06_162" xr:uid="{00000000-0004-0000-0000-000049010000}"/>
    <hyperlink ref="F183" r:id="rId328" xr:uid="{00000000-0004-0000-0000-00004A010000}"/>
    <hyperlink ref="C184" r:id="rId329" location="MG-1681-06_162" xr:uid="{00000000-0004-0000-0000-00004B010000}"/>
    <hyperlink ref="F184" r:id="rId330" xr:uid="{00000000-0004-0000-0000-00004C010000}"/>
    <hyperlink ref="V185" r:id="rId331" xr:uid="{00000000-0004-0000-0000-00004D010000}"/>
    <hyperlink ref="AB185" r:id="rId332" xr:uid="{00000000-0004-0000-0000-00004E010000}"/>
    <hyperlink ref="V186" r:id="rId333" xr:uid="{00000000-0004-0000-0000-00004F010000}"/>
    <hyperlink ref="AB186" r:id="rId334" xr:uid="{00000000-0004-0000-0000-000050010000}"/>
    <hyperlink ref="F187" r:id="rId335" xr:uid="{00000000-0004-0000-0000-000051010000}"/>
    <hyperlink ref="F188" r:id="rId336" xr:uid="{00000000-0004-0000-0000-000052010000}"/>
    <hyperlink ref="AB189" r:id="rId337" xr:uid="{00000000-0004-0000-0000-000053010000}"/>
    <hyperlink ref="C190" r:id="rId338" location="MG-1681-08_80" xr:uid="{00000000-0004-0000-0000-000054010000}"/>
    <hyperlink ref="F190" r:id="rId339" xr:uid="{00000000-0004-0000-0000-000055010000}"/>
    <hyperlink ref="F191" r:id="rId340" xr:uid="{00000000-0004-0000-0000-000056010000}"/>
    <hyperlink ref="F192" r:id="rId341" xr:uid="{00000000-0004-0000-0000-000057010000}"/>
    <hyperlink ref="F193" r:id="rId342" xr:uid="{00000000-0004-0000-0000-000058010000}"/>
    <hyperlink ref="C194" r:id="rId343" location="MG-1681-09e_214" xr:uid="{00000000-0004-0000-0000-000059010000}"/>
    <hyperlink ref="F194" r:id="rId344" xr:uid="{00000000-0004-0000-0000-00005A010000}"/>
    <hyperlink ref="V194" r:id="rId345" xr:uid="{00000000-0004-0000-0000-00005B010000}"/>
    <hyperlink ref="AB194" r:id="rId346" xr:uid="{00000000-0004-0000-0000-00005C010000}"/>
    <hyperlink ref="C195" r:id="rId347" location="MG-1681-09e_356" xr:uid="{00000000-0004-0000-0000-00005D010000}"/>
    <hyperlink ref="F195" r:id="rId348" xr:uid="{00000000-0004-0000-0000-00005E010000}"/>
    <hyperlink ref="V195" r:id="rId349" xr:uid="{00000000-0004-0000-0000-00005F010000}"/>
    <hyperlink ref="AB195" r:id="rId350" location="infos-principales" xr:uid="{00000000-0004-0000-0000-000060010000}"/>
    <hyperlink ref="F196" r:id="rId351" xr:uid="{00000000-0004-0000-0000-000061010000}"/>
    <hyperlink ref="F197" r:id="rId352" xr:uid="{00000000-0004-0000-0000-000062010000}"/>
    <hyperlink ref="F198" r:id="rId353" xr:uid="{00000000-0004-0000-0000-000063010000}"/>
    <hyperlink ref="F199" r:id="rId354" xr:uid="{00000000-0004-0000-0000-000064010000}"/>
    <hyperlink ref="V199" r:id="rId355" xr:uid="{00000000-0004-0000-0000-000065010000}"/>
    <hyperlink ref="AB199" r:id="rId356" location="infos-principales" xr:uid="{00000000-0004-0000-0000-000066010000}"/>
    <hyperlink ref="F200" r:id="rId357" xr:uid="{00000000-0004-0000-0000-000067010000}"/>
    <hyperlink ref="C201" r:id="rId358" location="MG-1681-12_281a" xr:uid="{00000000-0004-0000-0000-000068010000}"/>
    <hyperlink ref="F201" r:id="rId359" xr:uid="{00000000-0004-0000-0000-000069010000}"/>
    <hyperlink ref="V202" r:id="rId360" xr:uid="{00000000-0004-0000-0000-00006A010000}"/>
    <hyperlink ref="AB202" r:id="rId361" location="infos-principales" xr:uid="{00000000-0004-0000-0000-00006B010000}"/>
    <hyperlink ref="C203" r:id="rId362" location="MG-1681-12e_334" xr:uid="{00000000-0004-0000-0000-00006C010000}"/>
    <hyperlink ref="F204" r:id="rId363" xr:uid="{00000000-0004-0000-0000-00006D010000}"/>
    <hyperlink ref="C205" r:id="rId364" location="MG-1682-01_319" xr:uid="{00000000-0004-0000-0000-00006E010000}"/>
    <hyperlink ref="F205" r:id="rId365" xr:uid="{00000000-0004-0000-0000-00006F010000}"/>
    <hyperlink ref="F206" r:id="rId366" xr:uid="{00000000-0004-0000-0000-000070010000}"/>
    <hyperlink ref="C207" r:id="rId367" location="MG-1682-02_295" xr:uid="{00000000-0004-0000-0000-000071010000}"/>
    <hyperlink ref="F207" r:id="rId368" xr:uid="{00000000-0004-0000-0000-000072010000}"/>
    <hyperlink ref="AB207" r:id="rId369" location="a3e059fe-c0a9-4da1-932a-e36fdae2fa17" xr:uid="{00000000-0004-0000-0000-000073010000}"/>
    <hyperlink ref="F208" r:id="rId370" xr:uid="{00000000-0004-0000-0000-000074010000}"/>
    <hyperlink ref="F209" r:id="rId371" xr:uid="{00000000-0004-0000-0000-000075010000}"/>
    <hyperlink ref="V209" r:id="rId372" xr:uid="{00000000-0004-0000-0000-000076010000}"/>
    <hyperlink ref="AB209" r:id="rId373" location="infos-principales" xr:uid="{00000000-0004-0000-0000-000077010000}"/>
    <hyperlink ref="V210" r:id="rId374" xr:uid="{00000000-0004-0000-0000-000078010000}"/>
    <hyperlink ref="AB210" r:id="rId375" location="infos-principales" xr:uid="{00000000-0004-0000-0000-000079010000}"/>
    <hyperlink ref="C211" r:id="rId376" location="MG-1682-03e_251" xr:uid="{00000000-0004-0000-0000-00007A010000}"/>
    <hyperlink ref="V211" r:id="rId377" xr:uid="{00000000-0004-0000-0000-00007B010000}"/>
    <hyperlink ref="AB211" r:id="rId378" location="infos-principales" xr:uid="{00000000-0004-0000-0000-00007C010000}"/>
    <hyperlink ref="F212" r:id="rId379" xr:uid="{00000000-0004-0000-0000-00007D010000}"/>
    <hyperlink ref="AB212" r:id="rId380" xr:uid="{00000000-0004-0000-0000-00007E010000}"/>
    <hyperlink ref="C213" r:id="rId381" location="MG-1682-05_009" xr:uid="{00000000-0004-0000-0000-00007F010000}"/>
    <hyperlink ref="V214" r:id="rId382" xr:uid="{00000000-0004-0000-0000-000080010000}"/>
    <hyperlink ref="AB214" r:id="rId383" location="infos-principales" xr:uid="{00000000-0004-0000-0000-000081010000}"/>
    <hyperlink ref="C215" r:id="rId384" location="MG-1682-06_180" xr:uid="{00000000-0004-0000-0000-000082010000}"/>
    <hyperlink ref="F215" r:id="rId385" xr:uid="{00000000-0004-0000-0000-000083010000}"/>
    <hyperlink ref="V215" r:id="rId386" xr:uid="{00000000-0004-0000-0000-000084010000}"/>
    <hyperlink ref="AB215" r:id="rId387" location="infos-principales" xr:uid="{00000000-0004-0000-0000-000085010000}"/>
    <hyperlink ref="F216" r:id="rId388" xr:uid="{00000000-0004-0000-0000-000086010000}"/>
    <hyperlink ref="F219" r:id="rId389" xr:uid="{00000000-0004-0000-0000-000088010000}"/>
    <hyperlink ref="Y219" r:id="rId390" xr:uid="{00000000-0004-0000-0000-000089010000}"/>
    <hyperlink ref="F220" r:id="rId391" xr:uid="{00000000-0004-0000-0000-00008A010000}"/>
    <hyperlink ref="C221" r:id="rId392" location="MG-1682-08_092" xr:uid="{00000000-0004-0000-0000-00008B010000}"/>
    <hyperlink ref="F221" r:id="rId393" xr:uid="{00000000-0004-0000-0000-00008C010000}"/>
    <hyperlink ref="AB221" r:id="rId394" xr:uid="{00000000-0004-0000-0000-00008D010000}"/>
    <hyperlink ref="C222" r:id="rId395" location="MG-1682-08_122" xr:uid="{00000000-0004-0000-0000-00008E010000}"/>
    <hyperlink ref="F222" r:id="rId396" xr:uid="{00000000-0004-0000-0000-00008F010000}"/>
    <hyperlink ref="F223" r:id="rId397" xr:uid="{00000000-0004-0000-0000-000090010000}"/>
    <hyperlink ref="X223" r:id="rId398" xr:uid="{00000000-0004-0000-0000-000091010000}"/>
    <hyperlink ref="AB223" r:id="rId399" xr:uid="{00000000-0004-0000-0000-000092010000}"/>
    <hyperlink ref="C225" r:id="rId400" location="MG-1682-09b_242" xr:uid="{00000000-0004-0000-0000-000093010000}"/>
    <hyperlink ref="F225" r:id="rId401" xr:uid="{00000000-0004-0000-0000-000094010000}"/>
    <hyperlink ref="F226" r:id="rId402" xr:uid="{00000000-0004-0000-0000-000095010000}"/>
    <hyperlink ref="C224" r:id="rId403" location="MG-1682-10a_209" xr:uid="{00000000-0004-0000-0000-000096010000}"/>
    <hyperlink ref="F224" r:id="rId404" xr:uid="{00000000-0004-0000-0000-000097010000}"/>
    <hyperlink ref="X224" r:id="rId405" xr:uid="{00000000-0004-0000-0000-000098010000}"/>
    <hyperlink ref="AB229" r:id="rId406" xr:uid="{00000000-0004-0000-0000-000099010000}"/>
    <hyperlink ref="C230" r:id="rId407" location="MG-1682-10b_339" xr:uid="{00000000-0004-0000-0000-00009A010000}"/>
    <hyperlink ref="V230" r:id="rId408" xr:uid="{00000000-0004-0000-0000-00009B010000}"/>
    <hyperlink ref="F231" r:id="rId409" xr:uid="{00000000-0004-0000-0000-00009C010000}"/>
    <hyperlink ref="F232" r:id="rId410" xr:uid="{00000000-0004-0000-0000-00009D010000}"/>
    <hyperlink ref="AB232" r:id="rId411" xr:uid="{00000000-0004-0000-0000-00009E010000}"/>
    <hyperlink ref="F233" r:id="rId412" xr:uid="{00000000-0004-0000-0000-00009F010000}"/>
    <hyperlink ref="C234" r:id="rId413" location="MG-1682-12_205" xr:uid="{00000000-0004-0000-0000-0000A0010000}"/>
    <hyperlink ref="F234" r:id="rId414" xr:uid="{00000000-0004-0000-0000-0000A1010000}"/>
    <hyperlink ref="V235" r:id="rId415" xr:uid="{00000000-0004-0000-0000-0000A2010000}"/>
    <hyperlink ref="X235" r:id="rId416" xr:uid="{00000000-0004-0000-0000-0000A3010000}"/>
    <hyperlink ref="AB235" r:id="rId417" location="infos-principales" xr:uid="{00000000-0004-0000-0000-0000A4010000}"/>
    <hyperlink ref="C236" r:id="rId418" location="MG-1683-01_258" xr:uid="{00000000-0004-0000-0000-0000A5010000}"/>
    <hyperlink ref="F236" r:id="rId419" xr:uid="{00000000-0004-0000-0000-0000A6010000}"/>
    <hyperlink ref="X236" r:id="rId420" xr:uid="{00000000-0004-0000-0000-0000A7010000}"/>
    <hyperlink ref="F237" r:id="rId421" xr:uid="{00000000-0004-0000-0000-0000A8010000}"/>
    <hyperlink ref="F238" r:id="rId422" xr:uid="{00000000-0004-0000-0000-0000A9010000}"/>
    <hyperlink ref="V238" r:id="rId423" xr:uid="{00000000-0004-0000-0000-0000AA010000}"/>
    <hyperlink ref="F239" r:id="rId424" xr:uid="{00000000-0004-0000-0000-0000AB010000}"/>
    <hyperlink ref="C240" r:id="rId425" location="MG-1683-03_309" xr:uid="{00000000-0004-0000-0000-0000AC010000}"/>
    <hyperlink ref="F240" r:id="rId426" xr:uid="{00000000-0004-0000-0000-0000AD010000}"/>
    <hyperlink ref="AB240" r:id="rId427" xr:uid="{00000000-0004-0000-0000-0000AE010000}"/>
    <hyperlink ref="C243" r:id="rId428" location="MG-1683-04_159" xr:uid="{00000000-0004-0000-0000-0000AF010000}"/>
    <hyperlink ref="F243" r:id="rId429" xr:uid="{00000000-0004-0000-0000-0000B0010000}"/>
    <hyperlink ref="V243" r:id="rId430" xr:uid="{00000000-0004-0000-0000-0000B1010000}"/>
    <hyperlink ref="AB243" r:id="rId431" xr:uid="{00000000-0004-0000-0000-0000B2010000}"/>
    <hyperlink ref="C244" r:id="rId432" location="MG-1683-05_044" xr:uid="{00000000-0004-0000-0000-0000B3010000}"/>
    <hyperlink ref="F244" r:id="rId433" xr:uid="{00000000-0004-0000-0000-0000B4010000}"/>
    <hyperlink ref="AB244" r:id="rId434" xr:uid="{00000000-0004-0000-0000-0000B5010000}"/>
    <hyperlink ref="F245" r:id="rId435" xr:uid="{00000000-0004-0000-0000-0000B6010000}"/>
    <hyperlink ref="F246" r:id="rId436" xr:uid="{00000000-0004-0000-0000-0000B7010000}"/>
    <hyperlink ref="F249" r:id="rId437" xr:uid="{00000000-0004-0000-0000-0000B9010000}"/>
    <hyperlink ref="V249" r:id="rId438" xr:uid="{00000000-0004-0000-0000-0000BA010000}"/>
    <hyperlink ref="F250" r:id="rId439" xr:uid="{00000000-0004-0000-0000-0000BB010000}"/>
    <hyperlink ref="F251" r:id="rId440" xr:uid="{00000000-0004-0000-0000-0000BC010000}"/>
    <hyperlink ref="F252" r:id="rId441" xr:uid="{00000000-0004-0000-0000-0000BD010000}"/>
    <hyperlink ref="F253" r:id="rId442" xr:uid="{00000000-0004-0000-0000-0000BE010000}"/>
    <hyperlink ref="F254" r:id="rId443" xr:uid="{00000000-0004-0000-0000-0000BF010000}"/>
    <hyperlink ref="F255" r:id="rId444" xr:uid="{00000000-0004-0000-0000-0000C0010000}"/>
    <hyperlink ref="C256" r:id="rId445" location="MG-1683-09e_207" xr:uid="{00000000-0004-0000-0000-0000C1010000}"/>
    <hyperlink ref="V256" r:id="rId446" xr:uid="{00000000-0004-0000-0000-0000C2010000}"/>
    <hyperlink ref="AB256" r:id="rId447" location="infos-principales" xr:uid="{00000000-0004-0000-0000-0000C3010000}"/>
    <hyperlink ref="F257" r:id="rId448" xr:uid="{00000000-0004-0000-0000-0000C4010000}"/>
    <hyperlink ref="C258" r:id="rId449" location="MG-1683-10a_143" xr:uid="{00000000-0004-0000-0000-0000C5010000}"/>
    <hyperlink ref="F258" r:id="rId450" xr:uid="{00000000-0004-0000-0000-0000C6010000}"/>
    <hyperlink ref="AC258" r:id="rId451" xr:uid="{00000000-0004-0000-0000-0000C7010000}"/>
    <hyperlink ref="F261" r:id="rId452" xr:uid="{00000000-0004-0000-0000-0000C8010000}"/>
    <hyperlink ref="F262" r:id="rId453" xr:uid="{00000000-0004-0000-0000-0000C9010000}"/>
    <hyperlink ref="J262" r:id="rId454" xr:uid="{00000000-0004-0000-0000-0000CA010000}"/>
    <hyperlink ref="C263" r:id="rId455" location="MG-1683-12_073" xr:uid="{00000000-0004-0000-0000-0000CB010000}"/>
    <hyperlink ref="F263" r:id="rId456" xr:uid="{00000000-0004-0000-0000-0000CC010000}"/>
    <hyperlink ref="F264" r:id="rId457" xr:uid="{00000000-0004-0000-0000-0000CD010000}"/>
    <hyperlink ref="C266" r:id="rId458" location="MG-1684-01_040" xr:uid="{00000000-0004-0000-0000-0000CE010000}"/>
    <hyperlink ref="F266" r:id="rId459" xr:uid="{00000000-0004-0000-0000-0000CF010000}"/>
    <hyperlink ref="F267" r:id="rId460" xr:uid="{00000000-0004-0000-0000-0000D0010000}"/>
    <hyperlink ref="F268" r:id="rId461" xr:uid="{00000000-0004-0000-0000-0000D1010000}"/>
    <hyperlink ref="C269" r:id="rId462" location="MG-1684-03_067" xr:uid="{00000000-0004-0000-0000-0000D2010000}"/>
    <hyperlink ref="F270" r:id="rId463" xr:uid="{00000000-0004-0000-0000-0000D3010000}"/>
    <hyperlink ref="F272" r:id="rId464" xr:uid="{00000000-0004-0000-0000-0000D4010000}"/>
    <hyperlink ref="F273" r:id="rId465" xr:uid="{00000000-0004-0000-0000-0000D5010000}"/>
    <hyperlink ref="AB276" r:id="rId466" xr:uid="{00000000-0004-0000-0000-0000D7010000}"/>
    <hyperlink ref="F278" r:id="rId467" xr:uid="{00000000-0004-0000-0000-0000D8010000}"/>
    <hyperlink ref="AB278" r:id="rId468" xr:uid="{00000000-0004-0000-0000-0000D9010000}"/>
    <hyperlink ref="F280" r:id="rId469" xr:uid="{00000000-0004-0000-0000-0000DA010000}"/>
    <hyperlink ref="F281" r:id="rId470" xr:uid="{00000000-0004-0000-0000-0000DB010000}"/>
    <hyperlink ref="F282" r:id="rId471" xr:uid="{00000000-0004-0000-0000-0000DC010000}"/>
    <hyperlink ref="C283" r:id="rId472" location="MG-1684-10_128" xr:uid="{00000000-0004-0000-0000-0000DD010000}"/>
    <hyperlink ref="F283" r:id="rId473" xr:uid="{00000000-0004-0000-0000-0000DE010000}"/>
    <hyperlink ref="F284" r:id="rId474" xr:uid="{00000000-0004-0000-0000-0000DF010000}"/>
    <hyperlink ref="F285" r:id="rId475" xr:uid="{00000000-0004-0000-0000-0000E0010000}"/>
    <hyperlink ref="F288" r:id="rId476" xr:uid="{00000000-0004-0000-0000-0000E1010000}"/>
    <hyperlink ref="F289" r:id="rId477" xr:uid="{00000000-0004-0000-0000-0000E2010000}"/>
    <hyperlink ref="V289" r:id="rId478" xr:uid="{00000000-0004-0000-0000-0000E3010000}"/>
    <hyperlink ref="F291" r:id="rId479" xr:uid="{00000000-0004-0000-0000-0000E4010000}"/>
    <hyperlink ref="F292" r:id="rId480" xr:uid="{00000000-0004-0000-0000-0000E5010000}"/>
    <hyperlink ref="AC292" r:id="rId481" xr:uid="{00000000-0004-0000-0000-0000E6010000}"/>
    <hyperlink ref="F293" r:id="rId482" xr:uid="{00000000-0004-0000-0000-0000E7010000}"/>
    <hyperlink ref="Y293" r:id="rId483" xr:uid="{00000000-0004-0000-0000-0000E8010000}"/>
    <hyperlink ref="F294" r:id="rId484" xr:uid="{00000000-0004-0000-0000-0000E9010000}"/>
    <hyperlink ref="C295" r:id="rId485" location="MG-1685-07_263" xr:uid="{00000000-0004-0000-0000-0000EA010000}"/>
    <hyperlink ref="F295" r:id="rId486" xr:uid="{00000000-0004-0000-0000-0000EB010000}"/>
    <hyperlink ref="V295" r:id="rId487" xr:uid="{00000000-0004-0000-0000-0000EC010000}"/>
    <hyperlink ref="F296" r:id="rId488" xr:uid="{00000000-0004-0000-0000-0000ED010000}"/>
    <hyperlink ref="AB296" r:id="rId489" xr:uid="{00000000-0004-0000-0000-0000EE010000}"/>
    <hyperlink ref="F297" r:id="rId490" xr:uid="{00000000-0004-0000-0000-0000EF010000}"/>
    <hyperlink ref="F298" r:id="rId491" xr:uid="{00000000-0004-0000-0000-0000F0010000}"/>
    <hyperlink ref="F299" r:id="rId492" xr:uid="{00000000-0004-0000-0000-0000F1010000}"/>
    <hyperlink ref="F300" r:id="rId493" xr:uid="{00000000-0004-0000-0000-0000F2010000}"/>
    <hyperlink ref="F301" r:id="rId494" xr:uid="{00000000-0004-0000-0000-0000F3010000}"/>
    <hyperlink ref="F302" r:id="rId495" xr:uid="{00000000-0004-0000-0000-0000F4010000}"/>
    <hyperlink ref="F305" r:id="rId496" xr:uid="{00000000-0004-0000-0000-0000F5010000}"/>
    <hyperlink ref="C306" r:id="rId497" location="MG-1686-02b_159" xr:uid="{00000000-0004-0000-0000-0000F6010000}"/>
    <hyperlink ref="F306" r:id="rId498" xr:uid="{00000000-0004-0000-0000-0000F7010000}"/>
    <hyperlink ref="AB306" r:id="rId499" xr:uid="{00000000-0004-0000-0000-0000F8010000}"/>
    <hyperlink ref="F307" r:id="rId500" xr:uid="{00000000-0004-0000-0000-0000F9010000}"/>
    <hyperlink ref="C308" r:id="rId501" location="MG-1686-04_215" xr:uid="{00000000-0004-0000-0000-0000FA010000}"/>
    <hyperlink ref="F308" r:id="rId502" xr:uid="{00000000-0004-0000-0000-0000FB010000}"/>
    <hyperlink ref="C309" r:id="rId503" location="MG-1686-05_243" xr:uid="{00000000-0004-0000-0000-0000FC010000}"/>
    <hyperlink ref="F309" r:id="rId504" xr:uid="{00000000-0004-0000-0000-0000FD010000}"/>
    <hyperlink ref="Y309" r:id="rId505" xr:uid="{00000000-0004-0000-0000-0000FE010000}"/>
    <hyperlink ref="C310" r:id="rId506" location="MG-1686-06_080" xr:uid="{00000000-0004-0000-0000-0000FF010000}"/>
    <hyperlink ref="F310" r:id="rId507" xr:uid="{00000000-0004-0000-0000-000000020000}"/>
    <hyperlink ref="Y310" r:id="rId508" xr:uid="{00000000-0004-0000-0000-000001020000}"/>
    <hyperlink ref="AB310" r:id="rId509" xr:uid="{00000000-0004-0000-0000-000002020000}"/>
    <hyperlink ref="F311" r:id="rId510" xr:uid="{00000000-0004-0000-0000-000003020000}"/>
    <hyperlink ref="F312" r:id="rId511" xr:uid="{00000000-0004-0000-0000-000004020000}"/>
    <hyperlink ref="F313" r:id="rId512" xr:uid="{00000000-0004-0000-0000-000005020000}"/>
    <hyperlink ref="AB313" r:id="rId513" xr:uid="{00000000-0004-0000-0000-000006020000}"/>
    <hyperlink ref="F315" r:id="rId514" xr:uid="{00000000-0004-0000-0000-000007020000}"/>
    <hyperlink ref="F316" r:id="rId515" xr:uid="{00000000-0004-0000-0000-000008020000}"/>
    <hyperlink ref="F317" r:id="rId516" xr:uid="{00000000-0004-0000-0000-000009020000}"/>
    <hyperlink ref="F318" r:id="rId517" xr:uid="{00000000-0004-0000-0000-00000A020000}"/>
    <hyperlink ref="AB318" r:id="rId518" xr:uid="{00000000-0004-0000-0000-00000B020000}"/>
    <hyperlink ref="D319" r:id="rId519" location="MG-1687-01a_158" xr:uid="{00000000-0004-0000-0000-00000C020000}"/>
    <hyperlink ref="F319" r:id="rId520" xr:uid="{00000000-0004-0000-0000-00000D020000}"/>
    <hyperlink ref="C320" r:id="rId521" location="MG-1687-02_001" xr:uid="{00000000-0004-0000-0000-00000E020000}"/>
    <hyperlink ref="C321" r:id="rId522" location="MG-1687-02_073" xr:uid="{00000000-0004-0000-0000-00000F020000}"/>
    <hyperlink ref="F322" r:id="rId523" xr:uid="{00000000-0004-0000-0000-000010020000}"/>
    <hyperlink ref="F323" r:id="rId524" xr:uid="{00000000-0004-0000-0000-000011020000}"/>
    <hyperlink ref="F324" r:id="rId525" xr:uid="{00000000-0004-0000-0000-000012020000}"/>
    <hyperlink ref="F325" r:id="rId526" xr:uid="{00000000-0004-0000-0000-000013020000}"/>
    <hyperlink ref="F326" r:id="rId527" xr:uid="{00000000-0004-0000-0000-000014020000}"/>
    <hyperlink ref="AB326" r:id="rId528" xr:uid="{00000000-0004-0000-0000-000015020000}"/>
    <hyperlink ref="F327" r:id="rId529" xr:uid="{00000000-0004-0000-0000-000016020000}"/>
    <hyperlink ref="F328" r:id="rId530" xr:uid="{00000000-0004-0000-0000-000017020000}"/>
    <hyperlink ref="AB328" r:id="rId531" xr:uid="{00000000-0004-0000-0000-000018020000}"/>
    <hyperlink ref="F329" r:id="rId532" xr:uid="{00000000-0004-0000-0000-000019020000}"/>
    <hyperlink ref="V329" r:id="rId533" xr:uid="{00000000-0004-0000-0000-00001A020000}"/>
    <hyperlink ref="AB329" r:id="rId534" xr:uid="{00000000-0004-0000-0000-00001B020000}"/>
    <hyperlink ref="F330" r:id="rId535" xr:uid="{00000000-0004-0000-0000-00001C020000}"/>
    <hyperlink ref="C331" r:id="rId536" location="MG-1687-11_244" xr:uid="{00000000-0004-0000-0000-00001D020000}"/>
    <hyperlink ref="F331" r:id="rId537" xr:uid="{00000000-0004-0000-0000-00001E020000}"/>
    <hyperlink ref="F332" r:id="rId538" xr:uid="{00000000-0004-0000-0000-00001F020000}"/>
    <hyperlink ref="C334" r:id="rId539" location="MG-1688-02_146" xr:uid="{00000000-0004-0000-0000-000020020000}"/>
    <hyperlink ref="F334" r:id="rId540" xr:uid="{00000000-0004-0000-0000-000021020000}"/>
    <hyperlink ref="F335" r:id="rId541" xr:uid="{00000000-0004-0000-0000-000022020000}"/>
    <hyperlink ref="AB335" r:id="rId542" xr:uid="{00000000-0004-0000-0000-000023020000}"/>
    <hyperlink ref="F336" r:id="rId543" xr:uid="{00000000-0004-0000-0000-000024020000}"/>
    <hyperlink ref="AB336" r:id="rId544" xr:uid="{00000000-0004-0000-0000-000025020000}"/>
    <hyperlink ref="F337" r:id="rId545" xr:uid="{00000000-0004-0000-0000-000026020000}"/>
    <hyperlink ref="C339" r:id="rId546" location="MG-1688-06a_189" xr:uid="{00000000-0004-0000-0000-000027020000}"/>
    <hyperlink ref="F339" r:id="rId547" xr:uid="{00000000-0004-0000-0000-000028020000}"/>
    <hyperlink ref="C340" r:id="rId548" location="MG-1688-07_301" xr:uid="{00000000-0004-0000-0000-000029020000}"/>
    <hyperlink ref="F340" r:id="rId549" xr:uid="{00000000-0004-0000-0000-00002A020000}"/>
    <hyperlink ref="V340" r:id="rId550" xr:uid="{00000000-0004-0000-0000-00002B020000}"/>
    <hyperlink ref="AB340" r:id="rId551" xr:uid="{00000000-0004-0000-0000-00002C020000}"/>
    <hyperlink ref="C341" r:id="rId552" location="MG-1688-08_246" xr:uid="{00000000-0004-0000-0000-00002D020000}"/>
    <hyperlink ref="F341" r:id="rId553" xr:uid="{00000000-0004-0000-0000-00002E020000}"/>
    <hyperlink ref="C342" r:id="rId554" location="MG-1688-09a_237" xr:uid="{00000000-0004-0000-0000-00002F020000}"/>
    <hyperlink ref="F342" r:id="rId555" xr:uid="{00000000-0004-0000-0000-000030020000}"/>
    <hyperlink ref="AB342" r:id="rId556" location="infos-principales" xr:uid="{00000000-0004-0000-0000-000031020000}"/>
    <hyperlink ref="F343" r:id="rId557" xr:uid="{00000000-0004-0000-0000-000032020000}"/>
    <hyperlink ref="AB343" r:id="rId558" xr:uid="{00000000-0004-0000-0000-000033020000}"/>
    <hyperlink ref="C344" r:id="rId559" location="MG-1688-11a_283" xr:uid="{00000000-0004-0000-0000-000034020000}"/>
    <hyperlink ref="F344" r:id="rId560" xr:uid="{00000000-0004-0000-0000-000035020000}"/>
    <hyperlink ref="C345" r:id="rId561" location="MG-1688-12a_131" xr:uid="{00000000-0004-0000-0000-000036020000}"/>
    <hyperlink ref="F345" r:id="rId562" xr:uid="{00000000-0004-0000-0000-000037020000}"/>
    <hyperlink ref="F346" r:id="rId563" xr:uid="{00000000-0004-0000-0000-000038020000}"/>
    <hyperlink ref="F347" r:id="rId564" xr:uid="{00000000-0004-0000-0000-000039020000}"/>
    <hyperlink ref="F348" r:id="rId565" xr:uid="{00000000-0004-0000-0000-00003A020000}"/>
    <hyperlink ref="AB348" r:id="rId566" xr:uid="{00000000-0004-0000-0000-00003B020000}"/>
    <hyperlink ref="F349" r:id="rId567" xr:uid="{00000000-0004-0000-0000-00003C020000}"/>
    <hyperlink ref="F350" r:id="rId568" xr:uid="{00000000-0004-0000-0000-00003D020000}"/>
    <hyperlink ref="V350" r:id="rId569" xr:uid="{00000000-0004-0000-0000-00003E020000}"/>
    <hyperlink ref="X350" r:id="rId570" xr:uid="{00000000-0004-0000-0000-00003F020000}"/>
    <hyperlink ref="F351" r:id="rId571" xr:uid="{00000000-0004-0000-0000-000040020000}"/>
    <hyperlink ref="F352" r:id="rId572" xr:uid="{00000000-0004-0000-0000-000041020000}"/>
    <hyperlink ref="AB352" r:id="rId573" xr:uid="{00000000-0004-0000-0000-000042020000}"/>
    <hyperlink ref="F353" r:id="rId574" xr:uid="{00000000-0004-0000-0000-000043020000}"/>
    <hyperlink ref="F354" r:id="rId575" xr:uid="{00000000-0004-0000-0000-000044020000}"/>
    <hyperlink ref="Y354" r:id="rId576" xr:uid="{00000000-0004-0000-0000-000045020000}"/>
    <hyperlink ref="AB354" r:id="rId577" xr:uid="{00000000-0004-0000-0000-000046020000}"/>
    <hyperlink ref="F355" r:id="rId578" xr:uid="{00000000-0004-0000-0000-000047020000}"/>
    <hyperlink ref="F356" r:id="rId579" xr:uid="{00000000-0004-0000-0000-000048020000}"/>
    <hyperlink ref="C357" r:id="rId580" location="MG-1689-12_227" xr:uid="{00000000-0004-0000-0000-000049020000}"/>
    <hyperlink ref="F357" r:id="rId581" xr:uid="{00000000-0004-0000-0000-00004A020000}"/>
    <hyperlink ref="F358" r:id="rId582" xr:uid="{00000000-0004-0000-0000-00004B020000}"/>
    <hyperlink ref="AB358" r:id="rId583" xr:uid="{00000000-0004-0000-0000-00004C020000}"/>
    <hyperlink ref="C359" r:id="rId584" location="MG-1690-02_151" xr:uid="{00000000-0004-0000-0000-00004D020000}"/>
    <hyperlink ref="F359" r:id="rId585" xr:uid="{00000000-0004-0000-0000-00004E020000}"/>
    <hyperlink ref="F360" r:id="rId586" xr:uid="{00000000-0004-0000-0000-00004F020000}"/>
    <hyperlink ref="F362" r:id="rId587" xr:uid="{00000000-0004-0000-0000-000050020000}"/>
    <hyperlink ref="AD362" r:id="rId588" xr:uid="{00000000-0004-0000-0000-000051020000}"/>
    <hyperlink ref="F363" r:id="rId589" xr:uid="{00000000-0004-0000-0000-000052020000}"/>
    <hyperlink ref="F364" r:id="rId590" xr:uid="{00000000-0004-0000-0000-000053020000}"/>
    <hyperlink ref="F365" r:id="rId591" xr:uid="{00000000-0004-0000-0000-000054020000}"/>
    <hyperlink ref="AB365" r:id="rId592" xr:uid="{00000000-0004-0000-0000-000055020000}"/>
    <hyperlink ref="C366" r:id="rId593" location="MG-1690-09_187" xr:uid="{00000000-0004-0000-0000-000056020000}"/>
    <hyperlink ref="F366" r:id="rId594" xr:uid="{00000000-0004-0000-0000-000057020000}"/>
    <hyperlink ref="F367" r:id="rId595" xr:uid="{00000000-0004-0000-0000-000058020000}"/>
    <hyperlink ref="F368" r:id="rId596" xr:uid="{00000000-0004-0000-0000-000059020000}"/>
    <hyperlink ref="Y368" r:id="rId597" xr:uid="{00000000-0004-0000-0000-00005A020000}"/>
    <hyperlink ref="C369" r:id="rId598" location="MG-1691-01_227" xr:uid="{00000000-0004-0000-0000-00005B020000}"/>
    <hyperlink ref="F369" r:id="rId599" xr:uid="{00000000-0004-0000-0000-00005C020000}"/>
    <hyperlink ref="AB369" r:id="rId600" display="https://gallica.bnf.fr/ark:/12148 ; btv1b550039004 ; https://data.bnf.fr/fr/12356952/cornelis_vermeulen/ " xr:uid="{00000000-0004-0000-0000-00005D020000}"/>
    <hyperlink ref="C370" r:id="rId601" location="MG-1691-02_177" xr:uid="{00000000-0004-0000-0000-00005E020000}"/>
    <hyperlink ref="F370" r:id="rId602" xr:uid="{00000000-0004-0000-0000-00005F020000}"/>
    <hyperlink ref="AC370" r:id="rId603" xr:uid="{00000000-0004-0000-0000-000060020000}"/>
    <hyperlink ref="C371" r:id="rId604" location="MG-1691-03_131" xr:uid="{00000000-0004-0000-0000-000061020000}"/>
    <hyperlink ref="D371" r:id="rId605" location="MG-1691-02_177" xr:uid="{00000000-0004-0000-0000-000062020000}"/>
    <hyperlink ref="F371" r:id="rId606" xr:uid="{00000000-0004-0000-0000-000063020000}"/>
    <hyperlink ref="C372" r:id="rId607" location="MG-1691-04_162" xr:uid="{00000000-0004-0000-0000-000064020000}"/>
    <hyperlink ref="F372" r:id="rId608" xr:uid="{00000000-0004-0000-0000-000065020000}"/>
    <hyperlink ref="F373" r:id="rId609" xr:uid="{00000000-0004-0000-0000-000066020000}"/>
    <hyperlink ref="C374" r:id="rId610" location="MG-1691-06_208" xr:uid="{00000000-0004-0000-0000-000067020000}"/>
    <hyperlink ref="F374" r:id="rId611" xr:uid="{00000000-0004-0000-0000-000068020000}"/>
    <hyperlink ref="C375" r:id="rId612" location="MG-1691-07_181" xr:uid="{00000000-0004-0000-0000-000069020000}"/>
    <hyperlink ref="F375" r:id="rId613" xr:uid="{00000000-0004-0000-0000-00006A020000}"/>
    <hyperlink ref="F377" r:id="rId614" xr:uid="{00000000-0004-0000-0000-00006C020000}"/>
    <hyperlink ref="F378" r:id="rId615" xr:uid="{00000000-0004-0000-0000-00006D020000}"/>
    <hyperlink ref="F379" r:id="rId616" xr:uid="{00000000-0004-0000-0000-00006E020000}"/>
    <hyperlink ref="Y379" r:id="rId617" xr:uid="{00000000-0004-0000-0000-00006F020000}"/>
    <hyperlink ref="C380" r:id="rId618" location="MG-1691-11_156" xr:uid="{00000000-0004-0000-0000-000070020000}"/>
    <hyperlink ref="F380" r:id="rId619" xr:uid="{00000000-0004-0000-0000-000071020000}"/>
    <hyperlink ref="Y380" r:id="rId620" xr:uid="{00000000-0004-0000-0000-000072020000}"/>
    <hyperlink ref="F381" r:id="rId621" xr:uid="{00000000-0004-0000-0000-000073020000}"/>
    <hyperlink ref="AC381" r:id="rId622" location="v=onepage&amp;q=Terraque%2C%20marique%20m%C3%A9daille&amp;f=false" xr:uid="{00000000-0004-0000-0000-000074020000}"/>
    <hyperlink ref="C383" r:id="rId623" location="MG-1692-01a_288" xr:uid="{00000000-0004-0000-0000-000075020000}"/>
    <hyperlink ref="F383" r:id="rId624" xr:uid="{00000000-0004-0000-0000-000076020000}"/>
    <hyperlink ref="C384" r:id="rId625" location="MG-1692-02a_307" xr:uid="{00000000-0004-0000-0000-000077020000}"/>
    <hyperlink ref="C385" r:id="rId626" location="MG-1692-02a_307" xr:uid="{00000000-0004-0000-0000-000078020000}"/>
    <hyperlink ref="C386" r:id="rId627" location="MG-1692-03_175" xr:uid="{00000000-0004-0000-0000-000079020000}"/>
    <hyperlink ref="F386" r:id="rId628" xr:uid="{00000000-0004-0000-0000-00007A020000}"/>
    <hyperlink ref="C387" r:id="rId629" location="MG-1692-04_181" xr:uid="{00000000-0004-0000-0000-00007B020000}"/>
    <hyperlink ref="F387" r:id="rId630" xr:uid="{00000000-0004-0000-0000-00007C020000}"/>
    <hyperlink ref="C388" r:id="rId631" location="MG-1692-05_217" xr:uid="{00000000-0004-0000-0000-00007D020000}"/>
    <hyperlink ref="F388" r:id="rId632" xr:uid="{00000000-0004-0000-0000-00007E020000}"/>
    <hyperlink ref="AB388" r:id="rId633" xr:uid="{00000000-0004-0000-0000-00007F020000}"/>
    <hyperlink ref="F390" r:id="rId634" xr:uid="{00000000-0004-0000-0000-000081020000}"/>
    <hyperlink ref="F391" r:id="rId635" xr:uid="{00000000-0004-0000-0000-000082020000}"/>
    <hyperlink ref="F392" r:id="rId636" xr:uid="{00000000-0004-0000-0000-000083020000}"/>
    <hyperlink ref="F393" r:id="rId637" xr:uid="{00000000-0004-0000-0000-000084020000}"/>
    <hyperlink ref="F394" r:id="rId638" xr:uid="{00000000-0004-0000-0000-000085020000}"/>
    <hyperlink ref="F395" r:id="rId639" xr:uid="{00000000-0004-0000-0000-000086020000}"/>
    <hyperlink ref="F396" r:id="rId640" xr:uid="{00000000-0004-0000-0000-000087020000}"/>
    <hyperlink ref="Y396" r:id="rId641" xr:uid="{00000000-0004-0000-0000-000088020000}"/>
    <hyperlink ref="AB396" r:id="rId642" xr:uid="{00000000-0004-0000-0000-000089020000}"/>
    <hyperlink ref="F397" r:id="rId643" xr:uid="{00000000-0004-0000-0000-00008A020000}"/>
    <hyperlink ref="AB397" r:id="rId644" xr:uid="{00000000-0004-0000-0000-00008B020000}"/>
    <hyperlink ref="AC397" r:id="rId645" location="v=onepage&amp;q=Providenter.%20Philisburgum%20expugnatum&amp;f=false" xr:uid="{00000000-0004-0000-0000-00008C020000}"/>
    <hyperlink ref="F398" r:id="rId646" xr:uid="{00000000-0004-0000-0000-00008D020000}"/>
    <hyperlink ref="F399" r:id="rId647" xr:uid="{00000000-0004-0000-0000-00008E020000}"/>
    <hyperlink ref="F400" r:id="rId648" xr:uid="{00000000-0004-0000-0000-00008F020000}"/>
    <hyperlink ref="AB400" r:id="rId649" xr:uid="{00000000-0004-0000-0000-000090020000}"/>
    <hyperlink ref="F401" r:id="rId650" xr:uid="{00000000-0004-0000-0000-000091020000}"/>
    <hyperlink ref="F402" r:id="rId651" xr:uid="{00000000-0004-0000-0000-000092020000}"/>
    <hyperlink ref="AB402" r:id="rId652" xr:uid="{00000000-0004-0000-0000-000093020000}"/>
    <hyperlink ref="F403" r:id="rId653" xr:uid="{00000000-0004-0000-0000-000094020000}"/>
    <hyperlink ref="Y403" r:id="rId654" xr:uid="{00000000-0004-0000-0000-000095020000}"/>
    <hyperlink ref="F404" r:id="rId655" xr:uid="{00000000-0004-0000-0000-000096020000}"/>
    <hyperlink ref="AB404" r:id="rId656" xr:uid="{00000000-0004-0000-0000-000097020000}"/>
    <hyperlink ref="AC404" r:id="rId657" xr:uid="{00000000-0004-0000-0000-000098020000}"/>
    <hyperlink ref="F405" r:id="rId658" xr:uid="{00000000-0004-0000-0000-000099020000}"/>
    <hyperlink ref="AB405" r:id="rId659" xr:uid="{00000000-0004-0000-0000-00009A020000}"/>
    <hyperlink ref="AC405" r:id="rId660" xr:uid="{00000000-0004-0000-0000-00009B020000}"/>
    <hyperlink ref="F406" r:id="rId661" xr:uid="{00000000-0004-0000-0000-00009C020000}"/>
    <hyperlink ref="AB406" r:id="rId662" xr:uid="{00000000-0004-0000-0000-00009D020000}"/>
    <hyperlink ref="F407" r:id="rId663" xr:uid="{00000000-0004-0000-0000-00009E020000}"/>
    <hyperlink ref="AB407" r:id="rId664" xr:uid="{00000000-0004-0000-0000-00009F020000}"/>
    <hyperlink ref="F408" r:id="rId665" xr:uid="{00000000-0004-0000-0000-0000A0020000}"/>
    <hyperlink ref="F409" r:id="rId666" xr:uid="{00000000-0004-0000-0000-0000A1020000}"/>
    <hyperlink ref="C410" r:id="rId667" location="MG-1694-04_112" xr:uid="{00000000-0004-0000-0000-0000A2020000}"/>
    <hyperlink ref="F410" r:id="rId668" xr:uid="{00000000-0004-0000-0000-0000A3020000}"/>
    <hyperlink ref="F411" r:id="rId669" xr:uid="{00000000-0004-0000-0000-0000A4020000}"/>
    <hyperlink ref="F412" r:id="rId670" xr:uid="{00000000-0004-0000-0000-0000A5020000}"/>
    <hyperlink ref="F413" r:id="rId671" xr:uid="{00000000-0004-0000-0000-0000A6020000}"/>
    <hyperlink ref="AB413" r:id="rId672" xr:uid="{00000000-0004-0000-0000-0000A7020000}"/>
    <hyperlink ref="F414" r:id="rId673" xr:uid="{00000000-0004-0000-0000-0000A8020000}"/>
    <hyperlink ref="C415" r:id="rId674" location="MG-1694-08_227" xr:uid="{00000000-0004-0000-0000-0000A9020000}"/>
    <hyperlink ref="F415" r:id="rId675" xr:uid="{00000000-0004-0000-0000-0000AA020000}"/>
    <hyperlink ref="F416" r:id="rId676" xr:uid="{00000000-0004-0000-0000-0000AB020000}"/>
    <hyperlink ref="AB416" r:id="rId677" xr:uid="{00000000-0004-0000-0000-0000AC020000}"/>
    <hyperlink ref="F417" r:id="rId678" xr:uid="{00000000-0004-0000-0000-0000AD020000}"/>
    <hyperlink ref="F418" r:id="rId679" xr:uid="{00000000-0004-0000-0000-0000AE020000}"/>
    <hyperlink ref="F419" r:id="rId680" xr:uid="{00000000-0004-0000-0000-0000AF020000}"/>
    <hyperlink ref="F420" r:id="rId681" xr:uid="{00000000-0004-0000-0000-0000B0020000}"/>
    <hyperlink ref="F421" r:id="rId682" xr:uid="{00000000-0004-0000-0000-0000B1020000}"/>
    <hyperlink ref="AB421" r:id="rId683" xr:uid="{00000000-0004-0000-0000-0000B2020000}"/>
    <hyperlink ref="F422" r:id="rId684" xr:uid="{00000000-0004-0000-0000-0000B3020000}"/>
    <hyperlink ref="AB422" r:id="rId685" xr:uid="{00000000-0004-0000-0000-0000B4020000}"/>
    <hyperlink ref="F423" r:id="rId686" xr:uid="{00000000-0004-0000-0000-0000B5020000}"/>
    <hyperlink ref="F424" r:id="rId687" xr:uid="{00000000-0004-0000-0000-0000B6020000}"/>
    <hyperlink ref="C425" r:id="rId688" location="MG-1695-05_244" xr:uid="{00000000-0004-0000-0000-0000B7020000}"/>
    <hyperlink ref="F425" r:id="rId689" xr:uid="{00000000-0004-0000-0000-0000B8020000}"/>
    <hyperlink ref="F426" r:id="rId690" xr:uid="{00000000-0004-0000-0000-0000B9020000}"/>
    <hyperlink ref="F427" r:id="rId691" xr:uid="{00000000-0004-0000-0000-0000BA020000}"/>
    <hyperlink ref="F428" r:id="rId692" xr:uid="{00000000-0004-0000-0000-0000BB020000}"/>
    <hyperlink ref="X428" r:id="rId693" xr:uid="{00000000-0004-0000-0000-0000BC020000}"/>
    <hyperlink ref="F429" r:id="rId694" xr:uid="{00000000-0004-0000-0000-0000BD020000}"/>
    <hyperlink ref="X429" r:id="rId695" xr:uid="{00000000-0004-0000-0000-0000BE020000}"/>
    <hyperlink ref="F430" r:id="rId696" xr:uid="{00000000-0004-0000-0000-0000BF020000}"/>
    <hyperlink ref="F431" r:id="rId697" xr:uid="{00000000-0004-0000-0000-0000C0020000}"/>
    <hyperlink ref="F432" r:id="rId698" xr:uid="{00000000-0004-0000-0000-0000C1020000}"/>
    <hyperlink ref="F433" r:id="rId699" xr:uid="{00000000-0004-0000-0000-0000C2020000}"/>
    <hyperlink ref="X433" r:id="rId700" xr:uid="{00000000-0004-0000-0000-0000C3020000}"/>
    <hyperlink ref="F434" r:id="rId701" xr:uid="{00000000-0004-0000-0000-0000C4020000}"/>
    <hyperlink ref="X434" r:id="rId702" xr:uid="{00000000-0004-0000-0000-0000C5020000}"/>
    <hyperlink ref="F435" r:id="rId703" xr:uid="{00000000-0004-0000-0000-0000C6020000}"/>
    <hyperlink ref="F436" r:id="rId704" xr:uid="{00000000-0004-0000-0000-0000C7020000}"/>
    <hyperlink ref="F437" r:id="rId705" xr:uid="{00000000-0004-0000-0000-0000C8020000}"/>
    <hyperlink ref="X437" r:id="rId706" xr:uid="{00000000-0004-0000-0000-0000C9020000}"/>
    <hyperlink ref="F438" r:id="rId707" xr:uid="{00000000-0004-0000-0000-0000CA020000}"/>
    <hyperlink ref="X438" r:id="rId708" xr:uid="{00000000-0004-0000-0000-0000CB020000}"/>
    <hyperlink ref="F439" r:id="rId709" xr:uid="{00000000-0004-0000-0000-0000CC020000}"/>
    <hyperlink ref="X440" r:id="rId710" xr:uid="{00000000-0004-0000-0000-0000CE020000}"/>
    <hyperlink ref="F441" r:id="rId711" xr:uid="{00000000-0004-0000-0000-0000CF020000}"/>
    <hyperlink ref="X441" r:id="rId712" xr:uid="{00000000-0004-0000-0000-0000D0020000}"/>
    <hyperlink ref="AB441" r:id="rId713" xr:uid="{00000000-0004-0000-0000-0000D1020000}"/>
    <hyperlink ref="F442" r:id="rId714" xr:uid="{00000000-0004-0000-0000-0000D2020000}"/>
    <hyperlink ref="F443" r:id="rId715" xr:uid="{00000000-0004-0000-0000-0000D3020000}"/>
    <hyperlink ref="X443" r:id="rId716" xr:uid="{00000000-0004-0000-0000-0000D4020000}"/>
    <hyperlink ref="F444" r:id="rId717" xr:uid="{00000000-0004-0000-0000-0000D5020000}"/>
    <hyperlink ref="F445" r:id="rId718" xr:uid="{00000000-0004-0000-0000-0000D6020000}"/>
    <hyperlink ref="X445" r:id="rId719" xr:uid="{00000000-0004-0000-0000-0000D7020000}"/>
    <hyperlink ref="F446" r:id="rId720" xr:uid="{00000000-0004-0000-0000-0000D8020000}"/>
    <hyperlink ref="X446" r:id="rId721" xr:uid="{00000000-0004-0000-0000-0000D9020000}"/>
    <hyperlink ref="F447" r:id="rId722" xr:uid="{00000000-0004-0000-0000-0000DA020000}"/>
    <hyperlink ref="X447" r:id="rId723" xr:uid="{00000000-0004-0000-0000-0000DB020000}"/>
    <hyperlink ref="F448" r:id="rId724" xr:uid="{00000000-0004-0000-0000-0000DC020000}"/>
    <hyperlink ref="F449" r:id="rId725" xr:uid="{00000000-0004-0000-0000-0000DD020000}"/>
    <hyperlink ref="X449" r:id="rId726" xr:uid="{00000000-0004-0000-0000-0000DE020000}"/>
    <hyperlink ref="F450" r:id="rId727" xr:uid="{00000000-0004-0000-0000-0000DF020000}"/>
    <hyperlink ref="X450" r:id="rId728" xr:uid="{00000000-0004-0000-0000-0000E0020000}"/>
    <hyperlink ref="F451" r:id="rId729" xr:uid="{00000000-0004-0000-0000-0000E1020000}"/>
    <hyperlink ref="X451" r:id="rId730" xr:uid="{00000000-0004-0000-0000-0000E2020000}"/>
    <hyperlink ref="F452" r:id="rId731" xr:uid="{00000000-0004-0000-0000-0000E3020000}"/>
    <hyperlink ref="F453" r:id="rId732" xr:uid="{00000000-0004-0000-0000-0000E4020000}"/>
    <hyperlink ref="F454" r:id="rId733" xr:uid="{00000000-0004-0000-0000-0000E5020000}"/>
    <hyperlink ref="X454" r:id="rId734" xr:uid="{00000000-0004-0000-0000-0000E6020000}"/>
    <hyperlink ref="F455" r:id="rId735" xr:uid="{00000000-0004-0000-0000-0000E7020000}"/>
    <hyperlink ref="X455" r:id="rId736" xr:uid="{00000000-0004-0000-0000-0000E8020000}"/>
    <hyperlink ref="AB455" r:id="rId737" xr:uid="{00000000-0004-0000-0000-0000E9020000}"/>
    <hyperlink ref="F456" r:id="rId738" xr:uid="{00000000-0004-0000-0000-0000EA020000}"/>
    <hyperlink ref="X456" r:id="rId739" xr:uid="{00000000-0004-0000-0000-0000EB020000}"/>
    <hyperlink ref="F457" r:id="rId740" xr:uid="{00000000-0004-0000-0000-0000EC020000}"/>
    <hyperlink ref="X457" r:id="rId741" xr:uid="{00000000-0004-0000-0000-0000ED020000}"/>
    <hyperlink ref="F458" r:id="rId742" xr:uid="{00000000-0004-0000-0000-0000EE020000}"/>
    <hyperlink ref="X458" r:id="rId743" xr:uid="{00000000-0004-0000-0000-0000EF020000}"/>
    <hyperlink ref="F459" r:id="rId744" xr:uid="{00000000-0004-0000-0000-0000F0020000}"/>
    <hyperlink ref="AC459" r:id="rId745" xr:uid="{00000000-0004-0000-0000-0000F1020000}"/>
    <hyperlink ref="F460" r:id="rId746" xr:uid="{00000000-0004-0000-0000-0000F2020000}"/>
    <hyperlink ref="X460" r:id="rId747" xr:uid="{00000000-0004-0000-0000-0000F3020000}"/>
    <hyperlink ref="C461" r:id="rId748" location="MG-1701-04B_003" xr:uid="{00000000-0004-0000-0000-0000F4020000}"/>
    <hyperlink ref="F461" r:id="rId749" xr:uid="{00000000-0004-0000-0000-0000F5020000}"/>
    <hyperlink ref="X461" r:id="rId750" xr:uid="{00000000-0004-0000-0000-0000F6020000}"/>
    <hyperlink ref="F462" r:id="rId751" xr:uid="{00000000-0004-0000-0000-0000F7020000}"/>
    <hyperlink ref="V462" r:id="rId752" xr:uid="{00000000-0004-0000-0000-0000F8020000}"/>
    <hyperlink ref="X462" r:id="rId753" xr:uid="{00000000-0004-0000-0000-0000F9020000}"/>
    <hyperlink ref="F463" r:id="rId754" xr:uid="{00000000-0004-0000-0000-0000FA020000}"/>
    <hyperlink ref="X463" r:id="rId755" xr:uid="{00000000-0004-0000-0000-0000FB020000}"/>
    <hyperlink ref="C465" r:id="rId756" location="MG-1702-10_63" xr:uid="{00000000-0004-0000-0000-0000FC020000}"/>
    <hyperlink ref="F465" r:id="rId757" xr:uid="{00000000-0004-0000-0000-0000FD020000}"/>
    <hyperlink ref="F466" r:id="rId758" xr:uid="{00000000-0004-0000-0000-0000FE020000}"/>
    <hyperlink ref="X466" r:id="rId759" xr:uid="{00000000-0004-0000-0000-0000FF020000}"/>
    <hyperlink ref="C467" r:id="rId760" location="MG-1703-02_71" xr:uid="{00000000-0004-0000-0000-000000030000}"/>
    <hyperlink ref="D467" r:id="rId761" location="MG-1703-03_363" xr:uid="{00000000-0004-0000-0000-000001030000}"/>
    <hyperlink ref="F467" r:id="rId762" xr:uid="{00000000-0004-0000-0000-000002030000}"/>
    <hyperlink ref="G467" r:id="rId763" location="MG-1703-02_71" xr:uid="{00000000-0004-0000-0000-000003030000}"/>
    <hyperlink ref="F468" r:id="rId764" xr:uid="{00000000-0004-0000-0000-000004030000}"/>
    <hyperlink ref="X468" r:id="rId765" xr:uid="{00000000-0004-0000-0000-000005030000}"/>
    <hyperlink ref="AB468" r:id="rId766" xr:uid="{00000000-0004-0000-0000-000006030000}"/>
    <hyperlink ref="F469" r:id="rId767" xr:uid="{00000000-0004-0000-0000-000007030000}"/>
    <hyperlink ref="F470" r:id="rId768" xr:uid="{00000000-0004-0000-0000-000008030000}"/>
    <hyperlink ref="F471" r:id="rId769" xr:uid="{00000000-0004-0000-0000-000009030000}"/>
    <hyperlink ref="F472" r:id="rId770" xr:uid="{00000000-0004-0000-0000-00000A030000}"/>
    <hyperlink ref="F473" r:id="rId771" xr:uid="{00000000-0004-0000-0000-00000B030000}"/>
    <hyperlink ref="F474" r:id="rId772" xr:uid="{00000000-0004-0000-0000-00000C030000}"/>
    <hyperlink ref="F475" r:id="rId773" xr:uid="{00000000-0004-0000-0000-00000D030000}"/>
    <hyperlink ref="X475" r:id="rId774" xr:uid="{00000000-0004-0000-0000-00000E030000}"/>
    <hyperlink ref="C476" r:id="rId775" location="MG-1707-01_162" xr:uid="{00000000-0004-0000-0000-00000F030000}"/>
    <hyperlink ref="F476" r:id="rId776" xr:uid="{00000000-0004-0000-0000-000010030000}"/>
    <hyperlink ref="X476" r:id="rId777" xr:uid="{00000000-0004-0000-0000-000011030000}"/>
    <hyperlink ref="AB476" r:id="rId778" xr:uid="{00000000-0004-0000-0000-000012030000}"/>
    <hyperlink ref="F477" r:id="rId779" xr:uid="{00000000-0004-0000-0000-000013030000}"/>
    <hyperlink ref="X477" r:id="rId780" xr:uid="{00000000-0004-0000-0000-000014030000}"/>
    <hyperlink ref="AB477" r:id="rId781" xr:uid="{00000000-0004-0000-0000-000015030000}"/>
    <hyperlink ref="F478" r:id="rId782" xr:uid="{00000000-0004-0000-0000-000016030000}"/>
    <hyperlink ref="X478" r:id="rId783" xr:uid="{00000000-0004-0000-0000-000017030000}"/>
    <hyperlink ref="C479" r:id="rId784" location="MG-1709-03_125" xr:uid="{00000000-0004-0000-0000-000018030000}"/>
    <hyperlink ref="F479" r:id="rId785" xr:uid="{00000000-0004-0000-0000-000019030000}"/>
    <hyperlink ref="F480" r:id="rId786" xr:uid="{00000000-0004-0000-0000-00001A030000}"/>
    <hyperlink ref="Y247" r:id="rId787" display="https://gallica.bnf.fr/ark:/12148/bpt6k56069895" xr:uid="{406C8F90-712D-EA4E-983E-641EE322383B}"/>
    <hyperlink ref="F389" r:id="rId788" display="https://gallica.bnf.fr/ark:/12148/bpt6k6274143z/f227.item" xr:uid="{E92130F0-40E3-964F-9C82-6A4A8E98FE4A}"/>
    <hyperlink ref="AC369" r:id="rId789" xr:uid="{6661D188-986C-EA4F-9D9E-F3E7E746DD57}"/>
    <hyperlink ref="F274" r:id="rId790" xr:uid="{00000000-0004-0000-0000-0000D6010000}"/>
    <hyperlink ref="F82" r:id="rId791" xr:uid="{00000000-0004-0000-0000-0000A8000000}"/>
  </hyperlinks>
  <pageMargins left="0.7" right="0.7" top="0.75" bottom="0.75" header="0" footer="0"/>
  <pageSetup orientation="landscape"/>
  <legacyDrawing r:id="rId7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Anne Piéjus</cp:lastModifiedBy>
  <dcterms:modified xsi:type="dcterms:W3CDTF">2024-09-16T09:43:48Z</dcterms:modified>
</cp:coreProperties>
</file>